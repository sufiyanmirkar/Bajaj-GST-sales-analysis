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sufiy\Desktop\"/>
    </mc:Choice>
  </mc:AlternateContent>
  <xr:revisionPtr revIDLastSave="0" documentId="13_ncr:1_{E2EE5DA2-BB6B-4173-98FA-86E827A11141}" xr6:coauthVersionLast="47" xr6:coauthVersionMax="47" xr10:uidLastSave="{00000000-0000-0000-0000-000000000000}"/>
  <bookViews>
    <workbookView xWindow="-108" yWindow="-108" windowWidth="23256" windowHeight="13896" tabRatio="739" firstSheet="3" activeTab="7" xr2:uid="{00000000-000D-0000-FFFF-FFFF00000000}"/>
  </bookViews>
  <sheets>
    <sheet name="segment benifitted and lost" sheetId="8" r:id="rId1"/>
    <sheet name="model w highest sales" sheetId="9" r:id="rId2"/>
    <sheet name="model w highest sales lost" sheetId="10" r:id="rId3"/>
    <sheet name="revenue generated and lost" sheetId="18" r:id="rId4"/>
    <sheet name="avg price diff" sheetId="11" r:id="rId5"/>
    <sheet name="monthly trend" sheetId="15" r:id="rId6"/>
    <sheet name="Sheet15" sheetId="20" r:id="rId7"/>
    <sheet name="rawdata" sheetId="6" r:id="rId8"/>
    <sheet name="dataprep" sheetId="3" r:id="rId9"/>
    <sheet name="DASHBOARD" sheetId="22" r:id="rId10"/>
  </sheets>
  <definedNames>
    <definedName name="Slicer_Month">#N/A</definedName>
  </definedNames>
  <calcPr calcId="191029"/>
  <pivotCaches>
    <pivotCache cacheId="71" r:id="rId11"/>
    <pivotCache cacheId="66"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3" l="1"/>
  <c r="V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2" i="3"/>
  <c r="M2" i="3"/>
  <c r="C35" i="20"/>
  <c r="D35" i="20"/>
  <c r="C36" i="20"/>
  <c r="D36" i="20"/>
  <c r="C37" i="20"/>
  <c r="D37" i="20"/>
  <c r="D43" i="20"/>
  <c r="D44" i="20"/>
  <c r="D45" i="20"/>
  <c r="C38" i="20"/>
  <c r="D38" i="20"/>
  <c r="C39" i="20"/>
  <c r="D39" i="20"/>
  <c r="C44" i="20"/>
  <c r="C46" i="20"/>
  <c r="C40" i="20"/>
  <c r="D40" i="20"/>
  <c r="C41" i="20"/>
  <c r="D41" i="20"/>
  <c r="D42" i="20"/>
  <c r="C42" i="20"/>
  <c r="C43" i="20"/>
  <c r="D46" i="20"/>
  <c r="C45" i="20"/>
</calcChain>
</file>

<file path=xl/sharedStrings.xml><?xml version="1.0" encoding="utf-8"?>
<sst xmlns="http://schemas.openxmlformats.org/spreadsheetml/2006/main" count="3073" uniqueCount="72">
  <si>
    <t>Date</t>
  </si>
  <si>
    <t>Year</t>
  </si>
  <si>
    <t>Month</t>
  </si>
  <si>
    <t>Manufacturer</t>
  </si>
  <si>
    <t>Model</t>
  </si>
  <si>
    <t>Engine_cc</t>
  </si>
  <si>
    <t>Ex_Showroom_Price</t>
  </si>
  <si>
    <t>GST_applied_pct</t>
  </si>
  <si>
    <t>Price_After_GST</t>
  </si>
  <si>
    <t>Units_Sold_observed</t>
  </si>
  <si>
    <t>Revenue_scenario</t>
  </si>
  <si>
    <t>Bajaj</t>
  </si>
  <si>
    <t>Platina 100</t>
  </si>
  <si>
    <t>Platina 110</t>
  </si>
  <si>
    <t>CT 110X</t>
  </si>
  <si>
    <t>Pulsar 125</t>
  </si>
  <si>
    <t>Pulsar 150</t>
  </si>
  <si>
    <t>Pulsar NS160</t>
  </si>
  <si>
    <t>Pulsar NS200</t>
  </si>
  <si>
    <t>Pulsar RS200</t>
  </si>
  <si>
    <t>Pulsar 220F</t>
  </si>
  <si>
    <t>Avenger Street 160</t>
  </si>
  <si>
    <t>Avenger Cruise 220</t>
  </si>
  <si>
    <t>Dominar 250</t>
  </si>
  <si>
    <t>Dominar 400</t>
  </si>
  <si>
    <t>Pulsar N400</t>
  </si>
  <si>
    <t>Pulsar NS400</t>
  </si>
  <si>
    <t>Pre Policy GST pct</t>
  </si>
  <si>
    <t>Post policy GST pct</t>
  </si>
  <si>
    <t>Pre policy price after GST</t>
  </si>
  <si>
    <t>Post policy price after GST</t>
  </si>
  <si>
    <t>segment</t>
  </si>
  <si>
    <t>price change</t>
  </si>
  <si>
    <t>&lt;=150</t>
  </si>
  <si>
    <t>151-350</t>
  </si>
  <si>
    <t>&gt;350</t>
  </si>
  <si>
    <t>Row Labels</t>
  </si>
  <si>
    <t>Grand Total</t>
  </si>
  <si>
    <t>post_units_sold</t>
  </si>
  <si>
    <t>pre_units_sold</t>
  </si>
  <si>
    <t>Sum of pre_units_sold</t>
  </si>
  <si>
    <t>Sum of post_units_sold</t>
  </si>
  <si>
    <t>Jan</t>
  </si>
  <si>
    <t>Feb</t>
  </si>
  <si>
    <t>Mar</t>
  </si>
  <si>
    <t>Apr</t>
  </si>
  <si>
    <t>May</t>
  </si>
  <si>
    <t>Jun</t>
  </si>
  <si>
    <t>Jul</t>
  </si>
  <si>
    <t>Aug</t>
  </si>
  <si>
    <t>Sep</t>
  </si>
  <si>
    <t>Oct</t>
  </si>
  <si>
    <t>Nov</t>
  </si>
  <si>
    <t>Dec</t>
  </si>
  <si>
    <t>difference_in_units_sold</t>
  </si>
  <si>
    <t xml:space="preserve">pre policy revenue </t>
  </si>
  <si>
    <t xml:space="preserve">post policy revenue </t>
  </si>
  <si>
    <t>segment labels</t>
  </si>
  <si>
    <t>Commuter</t>
  </si>
  <si>
    <t>Mid-Range</t>
  </si>
  <si>
    <t>Premium</t>
  </si>
  <si>
    <t>c</t>
  </si>
  <si>
    <t>Sum of difference_in_units_sold</t>
  </si>
  <si>
    <t xml:space="preserve">Sum of pre policy revenue </t>
  </si>
  <si>
    <t xml:space="preserve">Sum of post policy revenue </t>
  </si>
  <si>
    <t>Average of price change</t>
  </si>
  <si>
    <t>rev difference</t>
  </si>
  <si>
    <t>Sum of rev difference</t>
  </si>
  <si>
    <t>Forecast(post policy revenue )</t>
  </si>
  <si>
    <t>Confidence Interval(post policy revenue )</t>
  </si>
  <si>
    <t>BAJAJ MOTORBIKE POST-POLICY REPORTS</t>
  </si>
  <si>
    <t>total units sold observed inplatina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</si>
</sst>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quot;₹&quot;\ #,##0"/>
  </numFmts>
  <fonts count="4" x14ac:knownFonts="1">
    <font>
      <sz val="11"/>
      <color theme="1"/>
      <name val="Calibri"/>
      <family val="2"/>
      <scheme val="minor"/>
    </font>
    <font>
      <b/>
      <sz val="11"/>
      <color theme="1"/>
      <name val="Calibri"/>
      <family val="2"/>
      <scheme val="minor"/>
    </font>
    <font>
      <b/>
      <i/>
      <u val="double"/>
      <sz val="28"/>
      <color theme="0"/>
      <name val="Calibri"/>
      <family val="2"/>
      <scheme val="minor"/>
    </font>
    <font>
      <i/>
      <u val="double"/>
      <sz val="11"/>
      <color theme="1"/>
      <name val="Calibri"/>
      <family val="2"/>
      <scheme val="minor"/>
    </font>
  </fonts>
  <fills count="4">
    <fill>
      <patternFill patternType="none"/>
    </fill>
    <fill>
      <patternFill patternType="gray125"/>
    </fill>
    <fill>
      <patternFill patternType="solid">
        <fgColor theme="0" tint="-0.14999847407452621"/>
        <bgColor theme="0" tint="-0.14999847407452621"/>
      </patternFill>
    </fill>
    <fill>
      <patternFill patternType="solid">
        <fgColor rgb="FF39874A"/>
        <bgColor indexed="64"/>
      </patternFill>
    </fill>
  </fills>
  <borders count="10">
    <border>
      <left/>
      <right/>
      <top/>
      <bottom/>
      <diagonal/>
    </border>
    <border>
      <left/>
      <right/>
      <top style="thin">
        <color auto="1"/>
      </top>
      <bottom/>
      <diagonal/>
    </border>
    <border>
      <left/>
      <right/>
      <top/>
      <bottom style="thin">
        <color theme="1"/>
      </bottom>
      <diagonal/>
    </border>
    <border>
      <left/>
      <right/>
      <top style="thin">
        <color auto="1"/>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theme="1"/>
      </top>
      <bottom/>
      <diagonal/>
    </border>
    <border>
      <left/>
      <right/>
      <top style="thin">
        <color theme="1"/>
      </top>
      <bottom/>
      <diagonal/>
    </border>
  </borders>
  <cellStyleXfs count="1">
    <xf numFmtId="0" fontId="0" fillId="0" borderId="0"/>
  </cellStyleXfs>
  <cellXfs count="56">
    <xf numFmtId="0" fontId="0" fillId="0" borderId="0" xfId="0"/>
    <xf numFmtId="164" fontId="0" fillId="0" borderId="0" xfId="0" applyNumberFormat="1"/>
    <xf numFmtId="9" fontId="0" fillId="0" borderId="0" xfId="0" applyNumberFormat="1"/>
    <xf numFmtId="165" fontId="0" fillId="0" borderId="0" xfId="0" applyNumberFormat="1"/>
    <xf numFmtId="0" fontId="0" fillId="2" borderId="0" xfId="0" applyFill="1"/>
    <xf numFmtId="0" fontId="0" fillId="2" borderId="2" xfId="0" applyFill="1" applyBorder="1"/>
    <xf numFmtId="165" fontId="0" fillId="2" borderId="0" xfId="0" applyNumberFormat="1" applyFill="1"/>
    <xf numFmtId="9" fontId="0" fillId="2" borderId="0" xfId="0" applyNumberFormat="1" applyFill="1"/>
    <xf numFmtId="164" fontId="0" fillId="2" borderId="0" xfId="0" applyNumberFormat="1" applyFill="1"/>
    <xf numFmtId="0" fontId="0" fillId="0" borderId="0" xfId="0" pivotButton="1"/>
    <xf numFmtId="0" fontId="0" fillId="0" borderId="0" xfId="0" applyAlignment="1">
      <alignment horizontal="left"/>
    </xf>
    <xf numFmtId="1" fontId="0" fillId="2" borderId="0" xfId="0" applyNumberFormat="1" applyFill="1"/>
    <xf numFmtId="1" fontId="0" fillId="0" borderId="0" xfId="0" applyNumberFormat="1"/>
    <xf numFmtId="0" fontId="1" fillId="0" borderId="4" xfId="0" applyFont="1" applyBorder="1" applyAlignment="1">
      <alignment horizontal="center" vertical="top"/>
    </xf>
    <xf numFmtId="165" fontId="1" fillId="0" borderId="4" xfId="0" applyNumberFormat="1" applyFont="1" applyBorder="1" applyAlignment="1">
      <alignment horizontal="center" vertical="top"/>
    </xf>
    <xf numFmtId="9" fontId="1" fillId="0" borderId="4" xfId="0" applyNumberFormat="1" applyFont="1" applyBorder="1" applyAlignment="1">
      <alignment horizontal="center" vertical="top"/>
    </xf>
    <xf numFmtId="1" fontId="1" fillId="0" borderId="4" xfId="0" applyNumberFormat="1" applyFont="1" applyBorder="1" applyAlignment="1">
      <alignment horizontal="center" vertical="top"/>
    </xf>
    <xf numFmtId="1" fontId="1" fillId="0" borderId="5" xfId="0" applyNumberFormat="1" applyFont="1" applyBorder="1" applyAlignment="1">
      <alignment horizontal="center" vertical="top"/>
    </xf>
    <xf numFmtId="0" fontId="0" fillId="2" borderId="1" xfId="0" applyFill="1" applyBorder="1"/>
    <xf numFmtId="165" fontId="0" fillId="2" borderId="1" xfId="0" applyNumberFormat="1" applyFill="1" applyBorder="1"/>
    <xf numFmtId="9" fontId="0" fillId="2" borderId="1" xfId="0" applyNumberFormat="1" applyFill="1" applyBorder="1"/>
    <xf numFmtId="1" fontId="0" fillId="2" borderId="1" xfId="0" applyNumberFormat="1" applyFill="1" applyBorder="1"/>
    <xf numFmtId="165" fontId="0" fillId="2" borderId="2" xfId="0" applyNumberFormat="1" applyFill="1" applyBorder="1"/>
    <xf numFmtId="9" fontId="0" fillId="2" borderId="2" xfId="0" applyNumberFormat="1" applyFill="1" applyBorder="1"/>
    <xf numFmtId="1" fontId="0" fillId="2" borderId="2" xfId="0" applyNumberFormat="1" applyFill="1" applyBorder="1"/>
    <xf numFmtId="165" fontId="0" fillId="2" borderId="3" xfId="0" applyNumberFormat="1" applyFill="1" applyBorder="1"/>
    <xf numFmtId="0" fontId="1" fillId="0" borderId="6" xfId="0" applyFont="1" applyBorder="1" applyAlignment="1">
      <alignment horizontal="center" vertical="top"/>
    </xf>
    <xf numFmtId="0" fontId="1" fillId="0" borderId="7" xfId="0" applyFont="1" applyFill="1" applyBorder="1" applyAlignment="1">
      <alignment horizontal="center" vertical="top"/>
    </xf>
    <xf numFmtId="0" fontId="0" fillId="2" borderId="0" xfId="0" applyFont="1" applyFill="1"/>
    <xf numFmtId="0" fontId="0" fillId="0" borderId="0" xfId="0" applyFont="1"/>
    <xf numFmtId="0" fontId="0" fillId="2" borderId="2" xfId="0" applyFont="1" applyFill="1" applyBorder="1"/>
    <xf numFmtId="0" fontId="1" fillId="0" borderId="8" xfId="0" applyFont="1" applyBorder="1" applyAlignment="1">
      <alignment horizontal="center" vertical="top"/>
    </xf>
    <xf numFmtId="0" fontId="0" fillId="2" borderId="1" xfId="0" applyFont="1" applyFill="1" applyBorder="1"/>
    <xf numFmtId="0" fontId="0" fillId="2" borderId="9" xfId="0" applyFont="1" applyFill="1" applyBorder="1"/>
    <xf numFmtId="165" fontId="0" fillId="2" borderId="1" xfId="0" applyNumberFormat="1" applyFont="1" applyFill="1" applyBorder="1"/>
    <xf numFmtId="9" fontId="0" fillId="2" borderId="1" xfId="0" applyNumberFormat="1" applyFont="1" applyFill="1" applyBorder="1"/>
    <xf numFmtId="165" fontId="0" fillId="0" borderId="0" xfId="0" applyNumberFormat="1" applyFont="1"/>
    <xf numFmtId="9" fontId="0" fillId="0" borderId="0" xfId="0" applyNumberFormat="1" applyFont="1"/>
    <xf numFmtId="165" fontId="0" fillId="2" borderId="0" xfId="0" applyNumberFormat="1" applyFont="1" applyFill="1"/>
    <xf numFmtId="9" fontId="0" fillId="2" borderId="0" xfId="0" applyNumberFormat="1" applyFont="1" applyFill="1"/>
    <xf numFmtId="165" fontId="0" fillId="2" borderId="2" xfId="0" applyNumberFormat="1" applyFont="1" applyFill="1" applyBorder="1"/>
    <xf numFmtId="9" fontId="0" fillId="2" borderId="2" xfId="0" applyNumberFormat="1" applyFont="1" applyFill="1" applyBorder="1"/>
    <xf numFmtId="0" fontId="0" fillId="0" borderId="0" xfId="0" applyNumberFormat="1"/>
    <xf numFmtId="14" fontId="1" fillId="0" borderId="4" xfId="0" applyNumberFormat="1" applyFont="1" applyBorder="1" applyAlignment="1">
      <alignment horizontal="center" vertical="top"/>
    </xf>
    <xf numFmtId="14" fontId="0" fillId="2" borderId="1" xfId="0" applyNumberFormat="1" applyFill="1" applyBorder="1"/>
    <xf numFmtId="14" fontId="0" fillId="0" borderId="0" xfId="0" applyNumberFormat="1"/>
    <xf numFmtId="14" fontId="0" fillId="2" borderId="0" xfId="0" applyNumberFormat="1" applyFill="1"/>
    <xf numFmtId="14" fontId="0" fillId="2" borderId="2" xfId="0" applyNumberFormat="1" applyFill="1" applyBorder="1"/>
    <xf numFmtId="14" fontId="0" fillId="2" borderId="1" xfId="0" applyNumberFormat="1" applyFont="1" applyFill="1" applyBorder="1"/>
    <xf numFmtId="14" fontId="0" fillId="0" borderId="0" xfId="0" applyNumberFormat="1" applyFont="1"/>
    <xf numFmtId="14" fontId="0" fillId="2" borderId="0" xfId="0" applyNumberFormat="1" applyFont="1" applyFill="1"/>
    <xf numFmtId="14" fontId="0" fillId="2" borderId="2" xfId="0" applyNumberFormat="1" applyFont="1" applyFill="1" applyBorder="1"/>
    <xf numFmtId="0" fontId="0" fillId="3" borderId="0" xfId="0" applyFill="1"/>
    <xf numFmtId="3" fontId="0" fillId="0" borderId="0" xfId="0" applyNumberFormat="1"/>
    <xf numFmtId="0" fontId="2" fillId="3" borderId="0" xfId="0" applyFont="1" applyFill="1" applyAlignment="1">
      <alignment horizontal="center" vertical="center"/>
    </xf>
    <xf numFmtId="0" fontId="3" fillId="3" borderId="0" xfId="0" applyFont="1" applyFill="1" applyAlignment="1">
      <alignment horizontal="center" vertical="center"/>
    </xf>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patternType="solid">
          <bgColor rgb="FF92D050"/>
        </patternFill>
      </fill>
    </dxf>
    <dxf>
      <fill>
        <patternFill>
          <fgColor rgb="FF39874A"/>
          <bgColor rgb="FF008000"/>
        </patternFill>
      </fill>
    </dxf>
    <dxf>
      <numFmt numFmtId="165" formatCode="&quot;₹&quot;\ #,##0"/>
    </dxf>
    <dxf>
      <numFmt numFmtId="165" formatCode="&quot;₹&quot;\ #,##0"/>
    </dxf>
    <dxf>
      <numFmt numFmtId="19" formatCode="dd/mm/yyyy"/>
    </dxf>
  </dxfs>
  <tableStyles count="2" defaultTableStyle="TableStyleMedium9" defaultPivotStyle="PivotStyleLight16">
    <tableStyle name="Slicer Style 1" pivot="0" table="0" count="1" xr9:uid="{4A46B6F5-3F93-48BF-B280-12042EF06828}">
      <tableStyleElement type="wholeTable" dxfId="4"/>
    </tableStyle>
    <tableStyle name="Slicer Style 2" pivot="0" table="0" count="2" xr9:uid="{2D04B665-57A2-4EB0-B128-CA4ABB22BD85}">
      <tableStyleElement type="wholeTable" dxfId="3"/>
    </tableStyle>
  </tableStyles>
  <colors>
    <mruColors>
      <color rgb="FF39874A"/>
      <color rgb="FF008000"/>
    </mruColors>
  </colors>
  <extLst>
    <ext xmlns:x14="http://schemas.microsoft.com/office/spreadsheetml/2009/9/main" uri="{46F421CA-312F-682f-3DD2-61675219B42D}">
      <x14:dxfs count="1">
        <dxf>
          <fill>
            <patternFill>
              <fgColor rgb="FF39874A"/>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[bajaj_bike_sales_tax_policyprep.xlsx]segment benifitted and lost!PivotTable2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a:noFill/>
          </a:ln>
          <a:effectLst/>
        </c:spPr>
      </c:pivotFmt>
      <c:pivotFmt>
        <c:idx val="11"/>
        <c:spPr>
          <a:solidFill>
            <a:schemeClr val="accent2"/>
          </a:solidFill>
          <a:ln>
            <a:noFill/>
          </a:ln>
          <a:effectLst/>
        </c:spPr>
      </c:pivotFmt>
      <c:pivotFmt>
        <c:idx val="12"/>
        <c:spPr>
          <a:solidFill>
            <a:schemeClr val="accent3"/>
          </a:solidFill>
          <a:ln>
            <a:noFill/>
          </a:ln>
          <a:effectLst/>
        </c:spPr>
      </c:pivotFmt>
    </c:pivotFmts>
    <c:plotArea>
      <c:layout>
        <c:manualLayout>
          <c:layoutTarget val="inner"/>
          <c:xMode val="edge"/>
          <c:yMode val="edge"/>
          <c:x val="0.21309995625546807"/>
          <c:y val="0.16908932731723142"/>
          <c:w val="0.54387860892388451"/>
          <c:h val="0.73331947270636111"/>
        </c:manualLayout>
      </c:layout>
      <c:pieChart>
        <c:varyColors val="1"/>
        <c:ser>
          <c:idx val="0"/>
          <c:order val="0"/>
          <c:tx>
            <c:strRef>
              <c:f>'segment benifitted and lost'!$B$3</c:f>
              <c:strCache>
                <c:ptCount val="1"/>
                <c:pt idx="0">
                  <c:v>Total</c:v>
                </c:pt>
              </c:strCache>
            </c:strRef>
          </c:tx>
          <c:dPt>
            <c:idx val="0"/>
            <c:bubble3D val="0"/>
            <c:explosion val="2"/>
            <c:spPr>
              <a:solidFill>
                <a:schemeClr val="accent1"/>
              </a:solidFill>
              <a:ln>
                <a:noFill/>
              </a:ln>
              <a:effectLst/>
            </c:spPr>
            <c:extLst>
              <c:ext xmlns:c16="http://schemas.microsoft.com/office/drawing/2014/chart" uri="{C3380CC4-5D6E-409C-BE32-E72D297353CC}">
                <c16:uniqueId val="{00000007-AACF-4CA1-A70E-0D88115C4CBB}"/>
              </c:ext>
            </c:extLst>
          </c:dPt>
          <c:dPt>
            <c:idx val="1"/>
            <c:bubble3D val="0"/>
            <c:spPr>
              <a:solidFill>
                <a:schemeClr val="accent2"/>
              </a:solidFill>
              <a:ln>
                <a:noFill/>
              </a:ln>
              <a:effectLst/>
            </c:spPr>
            <c:extLst>
              <c:ext xmlns:c16="http://schemas.microsoft.com/office/drawing/2014/chart" uri="{C3380CC4-5D6E-409C-BE32-E72D297353CC}">
                <c16:uniqueId val="{00000009-AACF-4CA1-A70E-0D88115C4CBB}"/>
              </c:ext>
            </c:extLst>
          </c:dPt>
          <c:dPt>
            <c:idx val="2"/>
            <c:bubble3D val="0"/>
            <c:explosion val="1"/>
            <c:spPr>
              <a:solidFill>
                <a:schemeClr val="accent3"/>
              </a:solidFill>
              <a:ln>
                <a:noFill/>
              </a:ln>
              <a:effectLst/>
            </c:spPr>
            <c:extLst>
              <c:ext xmlns:c16="http://schemas.microsoft.com/office/drawing/2014/chart" uri="{C3380CC4-5D6E-409C-BE32-E72D297353CC}">
                <c16:uniqueId val="{0000000B-AACF-4CA1-A70E-0D88115C4CB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'segment benifitted and lost'!$A$4:$A$6</c:f>
              <c:strCache>
                <c:ptCount val="3"/>
                <c:pt idx="0">
                  <c:v>Commuter</c:v>
                </c:pt>
                <c:pt idx="1">
                  <c:v>Mid-Range</c:v>
                </c:pt>
                <c:pt idx="2">
                  <c:v>Premium</c:v>
                </c:pt>
              </c:strCache>
            </c:strRef>
          </c:cat>
          <c:val>
            <c:numRef>
              <c:f>'segment benifitted and lost'!$B$4:$B$6</c:f>
              <c:numCache>
                <c:formatCode>0</c:formatCode>
                <c:ptCount val="3"/>
                <c:pt idx="0">
                  <c:v>1862885.9999999998</c:v>
                </c:pt>
                <c:pt idx="1">
                  <c:v>315448.55000000034</c:v>
                </c:pt>
                <c:pt idx="2">
                  <c:v>-93636.300000000032</c:v>
                </c:pt>
              </c:numCache>
            </c:numRef>
          </c:val>
          <c:extLst>
            <c:ext xmlns:c16="http://schemas.microsoft.com/office/drawing/2014/chart" uri="{C3380CC4-5D6E-409C-BE32-E72D297353CC}">
              <c16:uniqueId val="{0000000C-AACF-4CA1-A70E-0D88115C4CBB}"/>
            </c:ext>
          </c:extLst>
        </c:ser>
        <c:dLbls>
          <c:showLegendKey val="0"/>
          <c:showVal val="0"/>
          <c:showCatName val="0"/>
          <c:showSerName val="0"/>
          <c:showPercent val="0"/>
          <c:showBubbleSize val="0"/>
          <c:showLeaderLines val="0"/>
        </c:dLbls>
        <c:firstSliceAng val="117"/>
      </c:pieChart>
    </c:plotArea>
    <c:legend>
      <c:legendPos val="r"/>
      <c:layout>
        <c:manualLayout>
          <c:xMode val="edge"/>
          <c:yMode val="edge"/>
          <c:x val="0.83118963254593181"/>
          <c:y val="3.8323159043321842E-2"/>
          <c:w val="0.15492147856517935"/>
          <c:h val="0.189608068654339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[bajaj_bike_sales_tax_policyprep.xlsx]segment benifitted and lost!PivotTable2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rgbClr val="C00000"/>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pivotFmt>
      <c:pivotFmt>
        <c:idx val="7"/>
        <c:spPr>
          <a:solidFill>
            <a:srgbClr val="FFC000"/>
          </a:solidFill>
          <a:ln>
            <a:noFill/>
          </a:ln>
          <a:effectLst/>
        </c:spPr>
      </c:pivotFmt>
      <c:pivotFmt>
        <c:idx val="8"/>
        <c:spPr>
          <a:solidFill>
            <a:srgbClr val="FF0000"/>
          </a:solidFill>
          <a:ln>
            <a:noFill/>
          </a:ln>
          <a:effectLst/>
        </c:spPr>
      </c:pivotFmt>
    </c:pivotFmts>
    <c:plotArea>
      <c:layout>
        <c:manualLayout>
          <c:layoutTarget val="inner"/>
          <c:xMode val="edge"/>
          <c:yMode val="edge"/>
          <c:x val="0.21309995625546807"/>
          <c:y val="0.16908932731723142"/>
          <c:w val="0.54387860892388451"/>
          <c:h val="0.73331947270636111"/>
        </c:manualLayout>
      </c:layout>
      <c:barChart>
        <c:barDir val="col"/>
        <c:grouping val="clustered"/>
        <c:varyColors val="0"/>
        <c:ser>
          <c:idx val="0"/>
          <c:order val="0"/>
          <c:tx>
            <c:strRef>
              <c:f>'segment benifitted and lost'!$B$3</c:f>
              <c:strCache>
                <c:ptCount val="1"/>
                <c:pt idx="0">
                  <c:v>Total</c:v>
                </c:pt>
              </c:strCache>
            </c:strRef>
          </c:tx>
          <c:spPr>
            <a:solidFill>
              <a:srgbClr val="C00000"/>
            </a:solidFill>
            <a:ln>
              <a:noFill/>
            </a:ln>
            <a:effectLst/>
          </c:spPr>
          <c:invertIfNegative val="0"/>
          <c:dPt>
            <c:idx val="0"/>
            <c:invertIfNegative val="0"/>
            <c:bubble3D val="0"/>
            <c:explosion val="2"/>
            <c:spPr>
              <a:solidFill>
                <a:srgbClr val="92D050"/>
              </a:solidFill>
              <a:ln>
                <a:noFill/>
              </a:ln>
              <a:effectLst/>
            </c:spPr>
            <c:extLst>
              <c:ext xmlns:c16="http://schemas.microsoft.com/office/drawing/2014/chart" uri="{C3380CC4-5D6E-409C-BE32-E72D297353CC}">
                <c16:uniqueId val="{00000001-2587-4253-A3AB-3266877502AE}"/>
              </c:ext>
            </c:extLst>
          </c:dPt>
          <c:dPt>
            <c:idx val="1"/>
            <c:invertIfNegative val="0"/>
            <c:bubble3D val="0"/>
            <c:spPr>
              <a:solidFill>
                <a:srgbClr val="FFC000"/>
              </a:solidFill>
              <a:ln>
                <a:noFill/>
              </a:ln>
              <a:effectLst/>
            </c:spPr>
            <c:extLst>
              <c:ext xmlns:c16="http://schemas.microsoft.com/office/drawing/2014/chart" uri="{C3380CC4-5D6E-409C-BE32-E72D297353CC}">
                <c16:uniqueId val="{00000003-2587-4253-A3AB-3266877502AE}"/>
              </c:ext>
            </c:extLst>
          </c:dPt>
          <c:dPt>
            <c:idx val="2"/>
            <c:invertIfNegative val="0"/>
            <c:bubble3D val="0"/>
            <c:explosion val="1"/>
            <c:spPr>
              <a:solidFill>
                <a:srgbClr val="FF0000"/>
              </a:solidFill>
              <a:ln>
                <a:noFill/>
              </a:ln>
              <a:effectLst/>
            </c:spPr>
            <c:extLst>
              <c:ext xmlns:c16="http://schemas.microsoft.com/office/drawing/2014/chart" uri="{C3380CC4-5D6E-409C-BE32-E72D297353CC}">
                <c16:uniqueId val="{00000005-2587-4253-A3AB-3266877502AE}"/>
              </c:ext>
            </c:extLst>
          </c:dPt>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benifitted and lost'!$A$4:$A$6</c:f>
              <c:strCache>
                <c:ptCount val="3"/>
                <c:pt idx="0">
                  <c:v>Commuter</c:v>
                </c:pt>
                <c:pt idx="1">
                  <c:v>Mid-Range</c:v>
                </c:pt>
                <c:pt idx="2">
                  <c:v>Premium</c:v>
                </c:pt>
              </c:strCache>
            </c:strRef>
          </c:cat>
          <c:val>
            <c:numRef>
              <c:f>'segment benifitted and lost'!$B$4:$B$6</c:f>
              <c:numCache>
                <c:formatCode>0</c:formatCode>
                <c:ptCount val="3"/>
                <c:pt idx="0">
                  <c:v>1862885.9999999998</c:v>
                </c:pt>
                <c:pt idx="1">
                  <c:v>315448.55000000034</c:v>
                </c:pt>
                <c:pt idx="2">
                  <c:v>-93636.300000000032</c:v>
                </c:pt>
              </c:numCache>
            </c:numRef>
          </c:val>
          <c:extLst>
            <c:ext xmlns:c16="http://schemas.microsoft.com/office/drawing/2014/chart" uri="{C3380CC4-5D6E-409C-BE32-E72D297353CC}">
              <c16:uniqueId val="{00000006-2587-4253-A3AB-3266877502AE}"/>
            </c:ext>
          </c:extLst>
        </c:ser>
        <c:dLbls>
          <c:dLblPos val="outEnd"/>
          <c:showLegendKey val="0"/>
          <c:showVal val="1"/>
          <c:showCatName val="0"/>
          <c:showSerName val="0"/>
          <c:showPercent val="0"/>
          <c:showBubbleSize val="0"/>
        </c:dLbls>
        <c:gapWidth val="100"/>
        <c:axId val="172805615"/>
        <c:axId val="172808975"/>
      </c:barChart>
      <c:catAx>
        <c:axId val="172805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08975"/>
        <c:auto val="1"/>
        <c:lblAlgn val="ctr"/>
        <c:lblOffset val="100"/>
        <c:noMultiLvlLbl val="0"/>
      </c:catAx>
      <c:valAx>
        <c:axId val="172808975"/>
        <c:scaling>
          <c:orientation val="minMax"/>
        </c:scaling>
        <c:delete val="0"/>
        <c:axPos val="l"/>
        <c:majorGridlines>
          <c:spPr>
            <a:ln w="9525" cap="flat" cmpd="sng" algn="ctr">
              <a:solidFill>
                <a:schemeClr val="tx1">
                  <a:lumMod val="15000"/>
                  <a:lumOff val="85000"/>
                </a:schemeClr>
              </a:solidFill>
              <a:round/>
            </a:ln>
            <a:effectLst/>
          </c:spPr>
        </c:majorGridlines>
        <c:numFmt formatCode="#,##0.0,,\ &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05615"/>
        <c:crossBetween val="between"/>
      </c:valAx>
      <c:spPr>
        <a:noFill/>
        <a:ln>
          <a:noFill/>
        </a:ln>
        <a:effectLst/>
      </c:spPr>
    </c:plotArea>
    <c:legend>
      <c:legendPos val="r"/>
      <c:layout>
        <c:manualLayout>
          <c:xMode val="edge"/>
          <c:yMode val="edge"/>
          <c:x val="0.83118963254593181"/>
          <c:y val="3.8323159043321842E-2"/>
          <c:w val="0.15492147856517935"/>
          <c:h val="0.189608068654339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[bajaj_bike_sales_tax_policyprep.xlsx]model w highest sales!PivotTable3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39361612056558"/>
          <c:y val="0.15277777777777779"/>
          <c:w val="0.85893065786131573"/>
          <c:h val="0.59733778069407995"/>
        </c:manualLayout>
      </c:layout>
      <c:barChart>
        <c:barDir val="col"/>
        <c:grouping val="clustered"/>
        <c:varyColors val="0"/>
        <c:ser>
          <c:idx val="0"/>
          <c:order val="0"/>
          <c:tx>
            <c:strRef>
              <c:f>'model w highest sales'!$B$3</c:f>
              <c:strCache>
                <c:ptCount val="1"/>
                <c:pt idx="0">
                  <c:v>Total</c:v>
                </c:pt>
              </c:strCache>
            </c:strRef>
          </c:tx>
          <c:spPr>
            <a:solidFill>
              <a:schemeClr val="accent1"/>
            </a:solidFill>
            <a:ln>
              <a:noFill/>
            </a:ln>
            <a:effectLst/>
          </c:spPr>
          <c:invertIfNegative val="0"/>
          <c:cat>
            <c:strRef>
              <c:f>'model w highest sales'!$A$4:$A$14</c:f>
              <c:strCache>
                <c:ptCount val="10"/>
                <c:pt idx="0">
                  <c:v>Platina 100</c:v>
                </c:pt>
                <c:pt idx="1">
                  <c:v>Pulsar 125</c:v>
                </c:pt>
                <c:pt idx="2">
                  <c:v>Pulsar 150</c:v>
                </c:pt>
                <c:pt idx="3">
                  <c:v>Platina 110</c:v>
                </c:pt>
                <c:pt idx="4">
                  <c:v>CT 110X</c:v>
                </c:pt>
                <c:pt idx="5">
                  <c:v>Pulsar NS160</c:v>
                </c:pt>
                <c:pt idx="6">
                  <c:v>Pulsar 220F</c:v>
                </c:pt>
                <c:pt idx="7">
                  <c:v>Pulsar NS200</c:v>
                </c:pt>
                <c:pt idx="8">
                  <c:v>Pulsar RS200</c:v>
                </c:pt>
                <c:pt idx="9">
                  <c:v>Avenger Street 160</c:v>
                </c:pt>
              </c:strCache>
            </c:strRef>
          </c:cat>
          <c:val>
            <c:numRef>
              <c:f>'model w highest sales'!$B$4:$B$14</c:f>
              <c:numCache>
                <c:formatCode>0</c:formatCode>
                <c:ptCount val="10"/>
                <c:pt idx="0">
                  <c:v>445515.14999999973</c:v>
                </c:pt>
                <c:pt idx="1">
                  <c:v>396234.14999999979</c:v>
                </c:pt>
                <c:pt idx="2">
                  <c:v>374898.74999999977</c:v>
                </c:pt>
                <c:pt idx="3">
                  <c:v>349733.39999999985</c:v>
                </c:pt>
                <c:pt idx="4">
                  <c:v>296504.54999999981</c:v>
                </c:pt>
                <c:pt idx="5">
                  <c:v>83668.200000000099</c:v>
                </c:pt>
                <c:pt idx="6">
                  <c:v>66208.500000000044</c:v>
                </c:pt>
                <c:pt idx="7">
                  <c:v>58454.15000000006</c:v>
                </c:pt>
                <c:pt idx="8">
                  <c:v>33005.950000000033</c:v>
                </c:pt>
                <c:pt idx="9">
                  <c:v>32699.10000000002</c:v>
                </c:pt>
              </c:numCache>
            </c:numRef>
          </c:val>
          <c:extLst>
            <c:ext xmlns:c16="http://schemas.microsoft.com/office/drawing/2014/chart" uri="{C3380CC4-5D6E-409C-BE32-E72D297353CC}">
              <c16:uniqueId val="{00000006-D128-4D7C-B327-26D97DBE3A7F}"/>
            </c:ext>
          </c:extLst>
        </c:ser>
        <c:dLbls>
          <c:showLegendKey val="0"/>
          <c:showVal val="0"/>
          <c:showCatName val="0"/>
          <c:showSerName val="0"/>
          <c:showPercent val="0"/>
          <c:showBubbleSize val="0"/>
        </c:dLbls>
        <c:gapWidth val="219"/>
        <c:overlap val="-27"/>
        <c:axId val="172811855"/>
        <c:axId val="172812815"/>
      </c:barChart>
      <c:catAx>
        <c:axId val="17281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12815"/>
        <c:crosses val="autoZero"/>
        <c:auto val="1"/>
        <c:lblAlgn val="ctr"/>
        <c:lblOffset val="100"/>
        <c:noMultiLvlLbl val="0"/>
      </c:catAx>
      <c:valAx>
        <c:axId val="172812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1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[bajaj_bike_sales_tax_policyprep.xlsx]model w highest sales lost!PivotTable3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0000"/>
          </a:solidFill>
          <a:ln>
            <a:noFill/>
          </a:ln>
          <a:effectLst/>
        </c:spPr>
      </c:pivotFmt>
    </c:pivotFmts>
    <c:plotArea>
      <c:layout>
        <c:manualLayout>
          <c:layoutTarget val="inner"/>
          <c:xMode val="edge"/>
          <c:yMode val="edge"/>
          <c:x val="0.10795545390267702"/>
          <c:y val="8.8924438029512803E-2"/>
          <c:w val="0.83256339998947004"/>
          <c:h val="0.8328467153284671"/>
        </c:manualLayout>
      </c:layout>
      <c:barChart>
        <c:barDir val="col"/>
        <c:grouping val="clustered"/>
        <c:varyColors val="0"/>
        <c:ser>
          <c:idx val="0"/>
          <c:order val="0"/>
          <c:tx>
            <c:strRef>
              <c:f>'model w highest sales lost'!$B$3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4-8621-41FD-B643-B0F4E1715B74}"/>
              </c:ext>
            </c:extLst>
          </c:dPt>
          <c:dPt>
            <c:idx val="1"/>
            <c:invertIfNegative val="0"/>
            <c:bubble3D val="0"/>
            <c:spPr>
              <a:solidFill>
                <a:srgbClr val="FF0000"/>
              </a:solidFill>
              <a:ln>
                <a:noFill/>
              </a:ln>
              <a:effectLst/>
            </c:spPr>
            <c:extLst>
              <c:ext xmlns:c16="http://schemas.microsoft.com/office/drawing/2014/chart" uri="{C3380CC4-5D6E-409C-BE32-E72D297353CC}">
                <c16:uniqueId val="{00000005-8621-41FD-B643-B0F4E1715B74}"/>
              </c:ext>
            </c:extLst>
          </c:dPt>
          <c:dPt>
            <c:idx val="2"/>
            <c:invertIfNegative val="0"/>
            <c:bubble3D val="0"/>
            <c:spPr>
              <a:solidFill>
                <a:srgbClr val="FF0000"/>
              </a:solidFill>
              <a:ln>
                <a:noFill/>
              </a:ln>
              <a:effectLst/>
            </c:spPr>
            <c:extLst>
              <c:ext xmlns:c16="http://schemas.microsoft.com/office/drawing/2014/chart" uri="{C3380CC4-5D6E-409C-BE32-E72D297353CC}">
                <c16:uniqueId val="{00000006-8621-41FD-B643-B0F4E1715B74}"/>
              </c:ext>
            </c:extLst>
          </c:dPt>
          <c:cat>
            <c:strRef>
              <c:f>'model w highest sales lost'!$A$4:$A$14</c:f>
              <c:strCache>
                <c:ptCount val="10"/>
                <c:pt idx="0">
                  <c:v>Dominar 400</c:v>
                </c:pt>
                <c:pt idx="1">
                  <c:v>Pulsar N400</c:v>
                </c:pt>
                <c:pt idx="2">
                  <c:v>Pulsar NS400</c:v>
                </c:pt>
                <c:pt idx="3">
                  <c:v>Dominar 250</c:v>
                </c:pt>
                <c:pt idx="4">
                  <c:v>Avenger Cruise 220</c:v>
                </c:pt>
                <c:pt idx="5">
                  <c:v>Avenger Street 160</c:v>
                </c:pt>
                <c:pt idx="6">
                  <c:v>Pulsar RS200</c:v>
                </c:pt>
                <c:pt idx="7">
                  <c:v>Pulsar NS200</c:v>
                </c:pt>
                <c:pt idx="8">
                  <c:v>Pulsar 220F</c:v>
                </c:pt>
                <c:pt idx="9">
                  <c:v>Pulsar NS160</c:v>
                </c:pt>
              </c:strCache>
            </c:strRef>
          </c:cat>
          <c:val>
            <c:numRef>
              <c:f>'model w highest sales lost'!$B$4:$B$14</c:f>
              <c:numCache>
                <c:formatCode>0</c:formatCode>
                <c:ptCount val="10"/>
                <c:pt idx="0">
                  <c:v>-38826.150000000009</c:v>
                </c:pt>
                <c:pt idx="1">
                  <c:v>-30159.000000000015</c:v>
                </c:pt>
                <c:pt idx="2">
                  <c:v>-24651.150000000009</c:v>
                </c:pt>
                <c:pt idx="3">
                  <c:v>16739.350000000017</c:v>
                </c:pt>
                <c:pt idx="4">
                  <c:v>24673.300000000017</c:v>
                </c:pt>
                <c:pt idx="5">
                  <c:v>32699.10000000002</c:v>
                </c:pt>
                <c:pt idx="6">
                  <c:v>33005.950000000033</c:v>
                </c:pt>
                <c:pt idx="7">
                  <c:v>58454.15000000006</c:v>
                </c:pt>
                <c:pt idx="8">
                  <c:v>66208.500000000044</c:v>
                </c:pt>
                <c:pt idx="9">
                  <c:v>83668.200000000099</c:v>
                </c:pt>
              </c:numCache>
            </c:numRef>
          </c:val>
          <c:extLst>
            <c:ext xmlns:c16="http://schemas.microsoft.com/office/drawing/2014/chart" uri="{C3380CC4-5D6E-409C-BE32-E72D297353CC}">
              <c16:uniqueId val="{00000000-8621-41FD-B643-B0F4E1715B74}"/>
            </c:ext>
          </c:extLst>
        </c:ser>
        <c:dLbls>
          <c:showLegendKey val="0"/>
          <c:showVal val="0"/>
          <c:showCatName val="0"/>
          <c:showSerName val="0"/>
          <c:showPercent val="0"/>
          <c:showBubbleSize val="0"/>
        </c:dLbls>
        <c:gapWidth val="219"/>
        <c:axId val="172811855"/>
        <c:axId val="172812815"/>
      </c:barChart>
      <c:catAx>
        <c:axId val="172811855"/>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12815"/>
        <c:crosses val="autoZero"/>
        <c:auto val="1"/>
        <c:lblAlgn val="ctr"/>
        <c:lblOffset val="100"/>
        <c:noMultiLvlLbl val="0"/>
      </c:catAx>
      <c:valAx>
        <c:axId val="172812815"/>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1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[bajaj_bike_sales_tax_policyprep.xlsx]revenue generated and lost!PivotTable10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generated and lost'!$B$3</c:f>
              <c:strCache>
                <c:ptCount val="1"/>
                <c:pt idx="0">
                  <c:v>Total</c:v>
                </c:pt>
              </c:strCache>
            </c:strRef>
          </c:tx>
          <c:spPr>
            <a:solidFill>
              <a:schemeClr val="accent1"/>
            </a:solidFill>
            <a:ln>
              <a:noFill/>
            </a:ln>
            <a:effectLst/>
          </c:spPr>
          <c:invertIfNegative val="0"/>
          <c:cat>
            <c:strRef>
              <c:f>'revenue generated and lost'!$A$4:$A$7</c:f>
              <c:strCache>
                <c:ptCount val="3"/>
                <c:pt idx="0">
                  <c:v>Commuter</c:v>
                </c:pt>
                <c:pt idx="1">
                  <c:v>Mid-Range</c:v>
                </c:pt>
                <c:pt idx="2">
                  <c:v>Premium</c:v>
                </c:pt>
              </c:strCache>
            </c:strRef>
          </c:cat>
          <c:val>
            <c:numRef>
              <c:f>'revenue generated and lost'!$B$4:$B$7</c:f>
              <c:numCache>
                <c:formatCode>"₹"\ #,##0</c:formatCode>
                <c:ptCount val="3"/>
                <c:pt idx="0">
                  <c:v>76599786955.999985</c:v>
                </c:pt>
                <c:pt idx="1">
                  <c:v>-35739715784.999985</c:v>
                </c:pt>
                <c:pt idx="2">
                  <c:v>-13324623750</c:v>
                </c:pt>
              </c:numCache>
            </c:numRef>
          </c:val>
          <c:extLst>
            <c:ext xmlns:c16="http://schemas.microsoft.com/office/drawing/2014/chart" uri="{C3380CC4-5D6E-409C-BE32-E72D297353CC}">
              <c16:uniqueId val="{00000000-9140-4ED2-8699-13E482EC5852}"/>
            </c:ext>
          </c:extLst>
        </c:ser>
        <c:dLbls>
          <c:showLegendKey val="0"/>
          <c:showVal val="0"/>
          <c:showCatName val="0"/>
          <c:showSerName val="0"/>
          <c:showPercent val="0"/>
          <c:showBubbleSize val="0"/>
        </c:dLbls>
        <c:gapWidth val="182"/>
        <c:axId val="172813295"/>
        <c:axId val="172813775"/>
      </c:barChart>
      <c:catAx>
        <c:axId val="17281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13775"/>
        <c:crosses val="autoZero"/>
        <c:auto val="1"/>
        <c:lblAlgn val="ctr"/>
        <c:lblOffset val="100"/>
        <c:noMultiLvlLbl val="0"/>
      </c:catAx>
      <c:valAx>
        <c:axId val="17281377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1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[bajaj_bike_sales_tax_policyprep.xlsx]monthly trend!PivotTable7</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6203703703703703"/>
          <c:w val="0.86637182852143468"/>
          <c:h val="0.69281897054534847"/>
        </c:manualLayout>
      </c:layout>
      <c:lineChart>
        <c:grouping val="standard"/>
        <c:varyColors val="0"/>
        <c:ser>
          <c:idx val="0"/>
          <c:order val="0"/>
          <c:tx>
            <c:strRef>
              <c:f>'monthly trend'!$B$3</c:f>
              <c:strCache>
                <c:ptCount val="1"/>
                <c:pt idx="0">
                  <c:v>Sum of pre_units_sold</c:v>
                </c:pt>
              </c:strCache>
            </c:strRef>
          </c:tx>
          <c:spPr>
            <a:ln w="28575" cap="rnd">
              <a:solidFill>
                <a:schemeClr val="accent1"/>
              </a:solidFill>
              <a:round/>
            </a:ln>
            <a:effectLst/>
          </c:spPr>
          <c:marker>
            <c:symbol val="none"/>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General</c:formatCode>
                <c:ptCount val="12"/>
                <c:pt idx="0">
                  <c:v>1918384</c:v>
                </c:pt>
                <c:pt idx="1">
                  <c:v>1911219</c:v>
                </c:pt>
                <c:pt idx="2">
                  <c:v>2031343</c:v>
                </c:pt>
                <c:pt idx="3">
                  <c:v>1957622</c:v>
                </c:pt>
                <c:pt idx="4">
                  <c:v>1872223</c:v>
                </c:pt>
                <c:pt idx="5">
                  <c:v>1757306</c:v>
                </c:pt>
                <c:pt idx="6">
                  <c:v>1626711</c:v>
                </c:pt>
                <c:pt idx="7">
                  <c:v>1546795</c:v>
                </c:pt>
                <c:pt idx="8">
                  <c:v>1514106</c:v>
                </c:pt>
                <c:pt idx="9">
                  <c:v>1013190</c:v>
                </c:pt>
                <c:pt idx="10">
                  <c:v>1034156</c:v>
                </c:pt>
                <c:pt idx="11">
                  <c:v>1169398</c:v>
                </c:pt>
              </c:numCache>
            </c:numRef>
          </c:val>
          <c:smooth val="0"/>
          <c:extLst>
            <c:ext xmlns:c16="http://schemas.microsoft.com/office/drawing/2014/chart" uri="{C3380CC4-5D6E-409C-BE32-E72D297353CC}">
              <c16:uniqueId val="{00000000-4999-491B-8876-4C9C9E098C04}"/>
            </c:ext>
          </c:extLst>
        </c:ser>
        <c:ser>
          <c:idx val="1"/>
          <c:order val="1"/>
          <c:tx>
            <c:strRef>
              <c:f>'monthly trend'!$C$3</c:f>
              <c:strCache>
                <c:ptCount val="1"/>
                <c:pt idx="0">
                  <c:v>Sum of post_units_sold</c:v>
                </c:pt>
              </c:strCache>
            </c:strRef>
          </c:tx>
          <c:spPr>
            <a:ln w="28575" cap="rnd">
              <a:solidFill>
                <a:schemeClr val="accent2"/>
              </a:solidFill>
              <a:round/>
            </a:ln>
            <a:effectLst/>
          </c:spPr>
          <c:marker>
            <c:symbol val="none"/>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trend'!$C$4:$C$16</c:f>
              <c:numCache>
                <c:formatCode>0</c:formatCode>
                <c:ptCount val="12"/>
                <c:pt idx="0">
                  <c:v>2125821.7000000007</c:v>
                </c:pt>
                <c:pt idx="1">
                  <c:v>2116778.15</c:v>
                </c:pt>
                <c:pt idx="2">
                  <c:v>2252185.25</c:v>
                </c:pt>
                <c:pt idx="3">
                  <c:v>2167614.4000000008</c:v>
                </c:pt>
                <c:pt idx="4">
                  <c:v>2070885.0500000005</c:v>
                </c:pt>
                <c:pt idx="5">
                  <c:v>1947314.3999999997</c:v>
                </c:pt>
                <c:pt idx="6">
                  <c:v>1802765.7499999998</c:v>
                </c:pt>
                <c:pt idx="7">
                  <c:v>1712416.0499999998</c:v>
                </c:pt>
                <c:pt idx="8">
                  <c:v>1680241</c:v>
                </c:pt>
                <c:pt idx="9">
                  <c:v>1122760.2999999998</c:v>
                </c:pt>
                <c:pt idx="10">
                  <c:v>1143464.9000000001</c:v>
                </c:pt>
                <c:pt idx="11">
                  <c:v>1294904.2999999998</c:v>
                </c:pt>
              </c:numCache>
            </c:numRef>
          </c:val>
          <c:smooth val="0"/>
          <c:extLst>
            <c:ext xmlns:c16="http://schemas.microsoft.com/office/drawing/2014/chart" uri="{C3380CC4-5D6E-409C-BE32-E72D297353CC}">
              <c16:uniqueId val="{00000001-4999-491B-8876-4C9C9E098C04}"/>
            </c:ext>
          </c:extLst>
        </c:ser>
        <c:dLbls>
          <c:showLegendKey val="0"/>
          <c:showVal val="0"/>
          <c:showCatName val="0"/>
          <c:showSerName val="0"/>
          <c:showPercent val="0"/>
          <c:showBubbleSize val="0"/>
        </c:dLbls>
        <c:smooth val="0"/>
        <c:axId val="265341279"/>
        <c:axId val="265349439"/>
      </c:lineChart>
      <c:catAx>
        <c:axId val="26534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49439"/>
        <c:crosses val="autoZero"/>
        <c:auto val="1"/>
        <c:lblAlgn val="ctr"/>
        <c:lblOffset val="100"/>
        <c:noMultiLvlLbl val="0"/>
      </c:catAx>
      <c:valAx>
        <c:axId val="265349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41279"/>
        <c:crosses val="autoZero"/>
        <c:crossBetween val="between"/>
      </c:valAx>
      <c:spPr>
        <a:noFill/>
        <a:ln>
          <a:noFill/>
        </a:ln>
        <a:effectLst/>
      </c:spPr>
    </c:plotArea>
    <c:legend>
      <c:legendPos val="r"/>
      <c:layout>
        <c:manualLayout>
          <c:xMode val="edge"/>
          <c:yMode val="edge"/>
          <c:x val="0.14873053368328959"/>
          <c:y val="2.8355934674832339E-2"/>
          <c:w val="0.8318250218722660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Sheet15!$B$1</c:f>
              <c:strCache>
                <c:ptCount val="1"/>
                <c:pt idx="0">
                  <c:v>post policy revenue </c:v>
                </c:pt>
              </c:strCache>
            </c:strRef>
          </c:tx>
          <c:spPr>
            <a:solidFill>
              <a:schemeClr val="accent1"/>
            </a:solidFill>
            <a:ln w="12700">
              <a:solidFill>
                <a:srgbClr val="FFFFFF"/>
              </a:solidFill>
              <a:prstDash val="solid"/>
            </a:ln>
            <a:effectLst/>
          </c:spPr>
          <c:invertIfNegative val="0"/>
          <c:val>
            <c:numRef>
              <c:f>Sheet15!$B$2:$B$46</c:f>
              <c:numCache>
                <c:formatCode>"₹"\ #,##0</c:formatCode>
                <c:ptCount val="33"/>
                <c:pt idx="0">
                  <c:v>5694825379.5333338</c:v>
                </c:pt>
                <c:pt idx="1">
                  <c:v>5902983051</c:v>
                </c:pt>
                <c:pt idx="2">
                  <c:v>6308184903.9333334</c:v>
                </c:pt>
                <c:pt idx="3">
                  <c:v>5814351726.1333332</c:v>
                </c:pt>
                <c:pt idx="4">
                  <c:v>5579260095.333333</c:v>
                </c:pt>
                <c:pt idx="5">
                  <c:v>5246744666.9333334</c:v>
                </c:pt>
                <c:pt idx="6">
                  <c:v>4863438143.1999998</c:v>
                </c:pt>
                <c:pt idx="7">
                  <c:v>4650306849.9333334</c:v>
                </c:pt>
                <c:pt idx="8">
                  <c:v>4505840211.7333336</c:v>
                </c:pt>
                <c:pt idx="9">
                  <c:v>4533088154.2666664</c:v>
                </c:pt>
                <c:pt idx="10">
                  <c:v>4893063369.333333</c:v>
                </c:pt>
                <c:pt idx="11">
                  <c:v>5156406356.1333332</c:v>
                </c:pt>
                <c:pt idx="12">
                  <c:v>5766637599.5333338</c:v>
                </c:pt>
                <c:pt idx="13">
                  <c:v>5793763287.8666668</c:v>
                </c:pt>
                <c:pt idx="14">
                  <c:v>5818164462.333333</c:v>
                </c:pt>
                <c:pt idx="15">
                  <c:v>5837865852.1999998</c:v>
                </c:pt>
                <c:pt idx="16">
                  <c:v>5660094426.0666666</c:v>
                </c:pt>
                <c:pt idx="17">
                  <c:v>5205680462.7333336</c:v>
                </c:pt>
                <c:pt idx="18">
                  <c:v>4694929739.7333336</c:v>
                </c:pt>
                <c:pt idx="19">
                  <c:v>4716380301</c:v>
                </c:pt>
                <c:pt idx="20">
                  <c:v>4340301038.8666668</c:v>
                </c:pt>
              </c:numCache>
            </c:numRef>
          </c:val>
          <c:extLst>
            <c:ext xmlns:c16="http://schemas.microsoft.com/office/drawing/2014/chart" uri="{C3380CC4-5D6E-409C-BE32-E72D297353CC}">
              <c16:uniqueId val="{00000000-4054-444C-90B8-1A9590A4976B}"/>
            </c:ext>
          </c:extLst>
        </c:ser>
        <c:ser>
          <c:idx val="1"/>
          <c:order val="1"/>
          <c:tx>
            <c:strRef>
              <c:f>Sheet15!$C$1</c:f>
              <c:strCache>
                <c:ptCount val="1"/>
                <c:pt idx="0">
                  <c:v>Forecast(post policy revenue )</c:v>
                </c:pt>
              </c:strCache>
            </c:strRef>
          </c:tx>
          <c:spPr>
            <a:solidFill>
              <a:schemeClr val="accent2"/>
            </a:solidFill>
            <a:ln w="12700">
              <a:solidFill>
                <a:srgbClr val="FFFFFF"/>
              </a:solidFill>
              <a:prstDash val="solid"/>
            </a:ln>
            <a:effectLst/>
          </c:spPr>
          <c:invertIfNegative val="0"/>
          <c:errBars>
            <c:errBarType val="both"/>
            <c:errValType val="cust"/>
            <c:noEndCap val="0"/>
            <c:plus>
              <c:numRef>
                <c:f>Sheet15!$D$2:$D$46</c:f>
                <c:numCache>
                  <c:formatCode>General</c:formatCode>
                  <c:ptCount val="33"/>
                  <c:pt idx="21">
                    <c:v>283554302.91099775</c:v>
                  </c:pt>
                  <c:pt idx="22">
                    <c:v>283555578.9024899</c:v>
                  </c:pt>
                  <c:pt idx="23">
                    <c:v>283557847.31763178</c:v>
                  </c:pt>
                  <c:pt idx="24">
                    <c:v>283561391.67996204</c:v>
                  </c:pt>
                  <c:pt idx="25">
                    <c:v>283566495.48388827</c:v>
                  </c:pt>
                  <c:pt idx="26">
                    <c:v>283573442.18051571</c:v>
                  </c:pt>
                  <c:pt idx="27">
                    <c:v>283582515.16064787</c:v>
                  </c:pt>
                  <c:pt idx="28">
                    <c:v>283593997.73496217</c:v>
                  </c:pt>
                  <c:pt idx="29">
                    <c:v>283608173.11136794</c:v>
                  </c:pt>
                  <c:pt idx="30">
                    <c:v>283625324.36955321</c:v>
                  </c:pt>
                  <c:pt idx="31">
                    <c:v>283645734.43273032</c:v>
                  </c:pt>
                  <c:pt idx="32">
                    <c:v>283669686.03659284</c:v>
                  </c:pt>
                </c:numCache>
              </c:numRef>
            </c:plus>
            <c:minus>
              <c:numRef>
                <c:f>Sheet15!$D$2:$D$46</c:f>
                <c:numCache>
                  <c:formatCode>General</c:formatCode>
                  <c:ptCount val="33"/>
                  <c:pt idx="21">
                    <c:v>283554302.91099775</c:v>
                  </c:pt>
                  <c:pt idx="22">
                    <c:v>283555578.9024899</c:v>
                  </c:pt>
                  <c:pt idx="23">
                    <c:v>283557847.31763178</c:v>
                  </c:pt>
                  <c:pt idx="24">
                    <c:v>283561391.67996204</c:v>
                  </c:pt>
                  <c:pt idx="25">
                    <c:v>283566495.48388827</c:v>
                  </c:pt>
                  <c:pt idx="26">
                    <c:v>283573442.18051571</c:v>
                  </c:pt>
                  <c:pt idx="27">
                    <c:v>283582515.16064787</c:v>
                  </c:pt>
                  <c:pt idx="28">
                    <c:v>283593997.73496217</c:v>
                  </c:pt>
                  <c:pt idx="29">
                    <c:v>283608173.11136794</c:v>
                  </c:pt>
                  <c:pt idx="30">
                    <c:v>283625324.36955321</c:v>
                  </c:pt>
                  <c:pt idx="31">
                    <c:v>283645734.43273032</c:v>
                  </c:pt>
                  <c:pt idx="32">
                    <c:v>283669686.03659284</c:v>
                  </c:pt>
                </c:numCache>
              </c:numRef>
            </c:minus>
            <c:spPr>
              <a:noFill/>
              <a:ln w="9525" cap="flat" cmpd="sng" algn="ctr">
                <a:solidFill>
                  <a:srgbClr val="595959">
                    <a:alpha val="40392"/>
                  </a:srgbClr>
                </a:solidFill>
                <a:prstDash val="solid"/>
                <a:round/>
              </a:ln>
              <a:effectLst/>
            </c:spPr>
          </c:errBars>
          <c:cat>
            <c:numRef>
              <c:f>Sheet15!$A$2:$A$46</c:f>
              <c:numCache>
                <c:formatCode>m/d/yyyy</c:formatCode>
                <c:ptCount val="33"/>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pt idx="32">
                  <c:v>46266</c:v>
                </c:pt>
              </c:numCache>
            </c:numRef>
          </c:cat>
          <c:val>
            <c:numRef>
              <c:f>Sheet15!$C$2:$C$46</c:f>
              <c:numCache>
                <c:formatCode>General</c:formatCode>
                <c:ptCount val="33"/>
                <c:pt idx="21" formatCode="&quot;₹&quot;\ #,##0">
                  <c:v>4518647254.2191353</c:v>
                </c:pt>
                <c:pt idx="22" formatCode="&quot;₹&quot;\ #,##0">
                  <c:v>4674080548.80474</c:v>
                </c:pt>
                <c:pt idx="23" formatCode="&quot;₹&quot;\ #,##0">
                  <c:v>5249682609.6768255</c:v>
                </c:pt>
                <c:pt idx="24" formatCode="&quot;₹&quot;\ #,##0">
                  <c:v>5668989281.4390078</c:v>
                </c:pt>
                <c:pt idx="25" formatCode="&quot;₹&quot;\ #,##0">
                  <c:v>5770233319.6757507</c:v>
                </c:pt>
                <c:pt idx="26" formatCode="&quot;₹&quot;\ #,##0">
                  <c:v>6101439367.7548695</c:v>
                </c:pt>
                <c:pt idx="27" formatCode="&quot;₹&quot;\ #,##0">
                  <c:v>5783851480.538455</c:v>
                </c:pt>
                <c:pt idx="28" formatCode="&quot;₹&quot;\ #,##0">
                  <c:v>5561456336.6473541</c:v>
                </c:pt>
                <c:pt idx="29" formatCode="&quot;₹&quot;\ #,##0">
                  <c:v>5189292258.0818472</c:v>
                </c:pt>
                <c:pt idx="30" formatCode="&quot;₹&quot;\ #,##0">
                  <c:v>4797299746.1998701</c:v>
                </c:pt>
                <c:pt idx="31" formatCode="&quot;₹&quot;\ #,##0">
                  <c:v>4586732080.4082727</c:v>
                </c:pt>
                <c:pt idx="32" formatCode="&quot;₹&quot;\ #,##0">
                  <c:v>4438390519.928133</c:v>
                </c:pt>
              </c:numCache>
            </c:numRef>
          </c:val>
          <c:extLst>
            <c:ext xmlns:c16="http://schemas.microsoft.com/office/drawing/2014/chart" uri="{C3380CC4-5D6E-409C-BE32-E72D297353CC}">
              <c16:uniqueId val="{00000001-4054-444C-90B8-1A9590A4976B}"/>
            </c:ext>
          </c:extLst>
        </c:ser>
        <c:dLbls>
          <c:showLegendKey val="0"/>
          <c:showVal val="0"/>
          <c:showCatName val="0"/>
          <c:showSerName val="0"/>
          <c:showPercent val="0"/>
          <c:showBubbleSize val="0"/>
        </c:dLbls>
        <c:gapWidth val="0"/>
        <c:overlap val="100"/>
        <c:axId val="172796015"/>
        <c:axId val="172810415"/>
      </c:barChart>
      <c:catAx>
        <c:axId val="17279601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10415"/>
        <c:crosses val="autoZero"/>
        <c:auto val="1"/>
        <c:lblAlgn val="ctr"/>
        <c:lblOffset val="100"/>
        <c:noMultiLvlLbl val="0"/>
      </c:catAx>
      <c:valAx>
        <c:axId val="172810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6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[bajaj_bike_sales_tax_policyprep.xlsx]segment benifitted and lost!PivotTable2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SEGMENTS SALES DIFFERENCE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rgbClr val="C00000"/>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pivotFmt>
      <c:pivotFmt>
        <c:idx val="7"/>
        <c:spPr>
          <a:solidFill>
            <a:srgbClr val="FFC000"/>
          </a:solidFill>
          <a:ln>
            <a:noFill/>
          </a:ln>
          <a:effectLst/>
        </c:spPr>
      </c:pivotFmt>
      <c:pivotFmt>
        <c:idx val="8"/>
        <c:spPr>
          <a:solidFill>
            <a:srgbClr val="FF0000"/>
          </a:solidFill>
          <a:ln>
            <a:noFill/>
          </a:ln>
          <a:effectLst/>
        </c:spPr>
      </c:pivotFmt>
      <c:pivotFmt>
        <c:idx val="9"/>
        <c:spPr>
          <a:solidFill>
            <a:srgbClr val="C00000"/>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D050"/>
          </a:solidFill>
          <a:ln>
            <a:noFill/>
          </a:ln>
          <a:effectLst/>
        </c:spPr>
      </c:pivotFmt>
      <c:pivotFmt>
        <c:idx val="11"/>
        <c:spPr>
          <a:solidFill>
            <a:srgbClr val="FFC000"/>
          </a:solidFill>
          <a:ln>
            <a:noFill/>
          </a:ln>
          <a:effectLst/>
        </c:spPr>
      </c:pivotFmt>
      <c:pivotFmt>
        <c:idx val="12"/>
        <c:spPr>
          <a:solidFill>
            <a:srgbClr val="FF0000"/>
          </a:solidFill>
          <a:ln>
            <a:noFill/>
          </a:ln>
          <a:effectLst/>
        </c:spPr>
      </c:pivotFmt>
      <c:pivotFmt>
        <c:idx val="13"/>
        <c:spPr>
          <a:solidFill>
            <a:srgbClr val="C00000"/>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50"/>
          </a:solidFill>
          <a:ln>
            <a:noFill/>
          </a:ln>
          <a:effectLst/>
        </c:spPr>
      </c:pivotFmt>
      <c:pivotFmt>
        <c:idx val="15"/>
        <c:spPr>
          <a:solidFill>
            <a:srgbClr val="FFC000"/>
          </a:solidFill>
          <a:ln>
            <a:noFill/>
          </a:ln>
          <a:effectLst/>
        </c:spPr>
      </c:pivotFmt>
      <c:pivotFmt>
        <c:idx val="16"/>
        <c:spPr>
          <a:solidFill>
            <a:srgbClr val="FF0000"/>
          </a:solidFill>
          <a:ln>
            <a:noFill/>
          </a:ln>
          <a:effectLst/>
        </c:spPr>
      </c:pivotFmt>
    </c:pivotFmts>
    <c:plotArea>
      <c:layout>
        <c:manualLayout>
          <c:layoutTarget val="inner"/>
          <c:xMode val="edge"/>
          <c:yMode val="edge"/>
          <c:x val="0.17585595096702297"/>
          <c:y val="0.16908920064482694"/>
          <c:w val="0.68121563366031757"/>
          <c:h val="0.76498726013796703"/>
        </c:manualLayout>
      </c:layout>
      <c:barChart>
        <c:barDir val="col"/>
        <c:grouping val="clustered"/>
        <c:varyColors val="0"/>
        <c:ser>
          <c:idx val="0"/>
          <c:order val="0"/>
          <c:tx>
            <c:strRef>
              <c:f>'segment benifitted and lost'!$B$3</c:f>
              <c:strCache>
                <c:ptCount val="1"/>
                <c:pt idx="0">
                  <c:v>Total</c:v>
                </c:pt>
              </c:strCache>
            </c:strRef>
          </c:tx>
          <c:spPr>
            <a:solidFill>
              <a:srgbClr val="C00000"/>
            </a:solidFill>
            <a:ln>
              <a:noFill/>
            </a:ln>
            <a:effectLst/>
          </c:spPr>
          <c:invertIfNegative val="0"/>
          <c:dPt>
            <c:idx val="0"/>
            <c:invertIfNegative val="0"/>
            <c:bubble3D val="0"/>
            <c:explosion val="2"/>
            <c:spPr>
              <a:solidFill>
                <a:srgbClr val="00B050"/>
              </a:solidFill>
              <a:ln>
                <a:noFill/>
              </a:ln>
              <a:effectLst/>
            </c:spPr>
            <c:extLst>
              <c:ext xmlns:c16="http://schemas.microsoft.com/office/drawing/2014/chart" uri="{C3380CC4-5D6E-409C-BE32-E72D297353CC}">
                <c16:uniqueId val="{00000001-C083-4099-8B32-FC55F5BFFEE4}"/>
              </c:ext>
            </c:extLst>
          </c:dPt>
          <c:dPt>
            <c:idx val="1"/>
            <c:invertIfNegative val="0"/>
            <c:bubble3D val="0"/>
            <c:spPr>
              <a:solidFill>
                <a:srgbClr val="FFC000"/>
              </a:solidFill>
              <a:ln>
                <a:noFill/>
              </a:ln>
              <a:effectLst/>
            </c:spPr>
            <c:extLst>
              <c:ext xmlns:c16="http://schemas.microsoft.com/office/drawing/2014/chart" uri="{C3380CC4-5D6E-409C-BE32-E72D297353CC}">
                <c16:uniqueId val="{00000003-C083-4099-8B32-FC55F5BFFEE4}"/>
              </c:ext>
            </c:extLst>
          </c:dPt>
          <c:dPt>
            <c:idx val="2"/>
            <c:invertIfNegative val="0"/>
            <c:bubble3D val="0"/>
            <c:explosion val="1"/>
            <c:spPr>
              <a:solidFill>
                <a:srgbClr val="FF0000"/>
              </a:solidFill>
              <a:ln>
                <a:noFill/>
              </a:ln>
              <a:effectLst/>
            </c:spPr>
            <c:extLst>
              <c:ext xmlns:c16="http://schemas.microsoft.com/office/drawing/2014/chart" uri="{C3380CC4-5D6E-409C-BE32-E72D297353CC}">
                <c16:uniqueId val="{00000005-C083-4099-8B32-FC55F5BFFEE4}"/>
              </c:ext>
            </c:extLst>
          </c:dPt>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benifitted and lost'!$A$4:$A$6</c:f>
              <c:strCache>
                <c:ptCount val="3"/>
                <c:pt idx="0">
                  <c:v>Commuter</c:v>
                </c:pt>
                <c:pt idx="1">
                  <c:v>Mid-Range</c:v>
                </c:pt>
                <c:pt idx="2">
                  <c:v>Premium</c:v>
                </c:pt>
              </c:strCache>
            </c:strRef>
          </c:cat>
          <c:val>
            <c:numRef>
              <c:f>'segment benifitted and lost'!$B$4:$B$6</c:f>
              <c:numCache>
                <c:formatCode>0</c:formatCode>
                <c:ptCount val="3"/>
                <c:pt idx="0">
                  <c:v>1862885.9999999998</c:v>
                </c:pt>
                <c:pt idx="1">
                  <c:v>315448.55000000034</c:v>
                </c:pt>
                <c:pt idx="2">
                  <c:v>-93636.300000000032</c:v>
                </c:pt>
              </c:numCache>
            </c:numRef>
          </c:val>
          <c:extLst>
            <c:ext xmlns:c16="http://schemas.microsoft.com/office/drawing/2014/chart" uri="{C3380CC4-5D6E-409C-BE32-E72D297353CC}">
              <c16:uniqueId val="{00000006-C083-4099-8B32-FC55F5BFFEE4}"/>
            </c:ext>
          </c:extLst>
        </c:ser>
        <c:dLbls>
          <c:dLblPos val="outEnd"/>
          <c:showLegendKey val="0"/>
          <c:showVal val="1"/>
          <c:showCatName val="0"/>
          <c:showSerName val="0"/>
          <c:showPercent val="0"/>
          <c:showBubbleSize val="0"/>
        </c:dLbls>
        <c:gapWidth val="100"/>
        <c:axId val="172805615"/>
        <c:axId val="172808975"/>
      </c:barChart>
      <c:catAx>
        <c:axId val="172805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08975"/>
        <c:crosses val="autoZero"/>
        <c:auto val="1"/>
        <c:lblAlgn val="ctr"/>
        <c:lblOffset val="660"/>
        <c:noMultiLvlLbl val="0"/>
      </c:catAx>
      <c:valAx>
        <c:axId val="172808975"/>
        <c:scaling>
          <c:orientation val="minMax"/>
        </c:scaling>
        <c:delete val="0"/>
        <c:axPos val="l"/>
        <c:numFmt formatCode="#,##0.0,,\ &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05615"/>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[bajaj_bike_sales_tax_policyprep.xlsx]model w highest sales!PivotTable3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MODELS WITH MOST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39361612056558"/>
          <c:y val="0.15277777777777779"/>
          <c:w val="0.85893065786131573"/>
          <c:h val="0.59733778069407995"/>
        </c:manualLayout>
      </c:layout>
      <c:barChart>
        <c:barDir val="col"/>
        <c:grouping val="clustered"/>
        <c:varyColors val="0"/>
        <c:ser>
          <c:idx val="0"/>
          <c:order val="0"/>
          <c:tx>
            <c:strRef>
              <c:f>'model w highest sales'!$B$3</c:f>
              <c:strCache>
                <c:ptCount val="1"/>
                <c:pt idx="0">
                  <c:v>Total</c:v>
                </c:pt>
              </c:strCache>
            </c:strRef>
          </c:tx>
          <c:spPr>
            <a:solidFill>
              <a:schemeClr val="accent1"/>
            </a:solidFill>
            <a:ln>
              <a:noFill/>
            </a:ln>
            <a:effectLst/>
          </c:spPr>
          <c:invertIfNegative val="0"/>
          <c:cat>
            <c:strRef>
              <c:f>'model w highest sales'!$A$4:$A$14</c:f>
              <c:strCache>
                <c:ptCount val="10"/>
                <c:pt idx="0">
                  <c:v>Platina 100</c:v>
                </c:pt>
                <c:pt idx="1">
                  <c:v>Pulsar 125</c:v>
                </c:pt>
                <c:pt idx="2">
                  <c:v>Pulsar 150</c:v>
                </c:pt>
                <c:pt idx="3">
                  <c:v>Platina 110</c:v>
                </c:pt>
                <c:pt idx="4">
                  <c:v>CT 110X</c:v>
                </c:pt>
                <c:pt idx="5">
                  <c:v>Pulsar NS160</c:v>
                </c:pt>
                <c:pt idx="6">
                  <c:v>Pulsar 220F</c:v>
                </c:pt>
                <c:pt idx="7">
                  <c:v>Pulsar NS200</c:v>
                </c:pt>
                <c:pt idx="8">
                  <c:v>Pulsar RS200</c:v>
                </c:pt>
                <c:pt idx="9">
                  <c:v>Avenger Street 160</c:v>
                </c:pt>
              </c:strCache>
            </c:strRef>
          </c:cat>
          <c:val>
            <c:numRef>
              <c:f>'model w highest sales'!$B$4:$B$14</c:f>
              <c:numCache>
                <c:formatCode>0</c:formatCode>
                <c:ptCount val="10"/>
                <c:pt idx="0">
                  <c:v>445515.14999999973</c:v>
                </c:pt>
                <c:pt idx="1">
                  <c:v>396234.14999999979</c:v>
                </c:pt>
                <c:pt idx="2">
                  <c:v>374898.74999999977</c:v>
                </c:pt>
                <c:pt idx="3">
                  <c:v>349733.39999999985</c:v>
                </c:pt>
                <c:pt idx="4">
                  <c:v>296504.54999999981</c:v>
                </c:pt>
                <c:pt idx="5">
                  <c:v>83668.200000000099</c:v>
                </c:pt>
                <c:pt idx="6">
                  <c:v>66208.500000000044</c:v>
                </c:pt>
                <c:pt idx="7">
                  <c:v>58454.15000000006</c:v>
                </c:pt>
                <c:pt idx="8">
                  <c:v>33005.950000000033</c:v>
                </c:pt>
                <c:pt idx="9">
                  <c:v>32699.10000000002</c:v>
                </c:pt>
              </c:numCache>
            </c:numRef>
          </c:val>
          <c:extLst>
            <c:ext xmlns:c16="http://schemas.microsoft.com/office/drawing/2014/chart" uri="{C3380CC4-5D6E-409C-BE32-E72D297353CC}">
              <c16:uniqueId val="{00000000-3474-49FF-B938-58DD02724373}"/>
            </c:ext>
          </c:extLst>
        </c:ser>
        <c:dLbls>
          <c:showLegendKey val="0"/>
          <c:showVal val="0"/>
          <c:showCatName val="0"/>
          <c:showSerName val="0"/>
          <c:showPercent val="0"/>
          <c:showBubbleSize val="0"/>
        </c:dLbls>
        <c:gapWidth val="219"/>
        <c:overlap val="-27"/>
        <c:axId val="172811855"/>
        <c:axId val="172812815"/>
      </c:barChart>
      <c:catAx>
        <c:axId val="17281185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12815"/>
        <c:crosses val="autoZero"/>
        <c:auto val="1"/>
        <c:lblAlgn val="ctr"/>
        <c:lblOffset val="200"/>
        <c:noMultiLvlLbl val="0"/>
      </c:catAx>
      <c:valAx>
        <c:axId val="172812815"/>
        <c:scaling>
          <c:orientation val="minMax"/>
        </c:scaling>
        <c:delete val="0"/>
        <c:axPos val="l"/>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1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[bajaj_bike_sales_tax_policyprep.xlsx]model w highest sales lost!PivotTable3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MODELS WITH LEAST</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000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pivotFmt>
      <c:pivotFmt>
        <c:idx val="7"/>
        <c:spPr>
          <a:solidFill>
            <a:srgbClr val="FF0000"/>
          </a:solidFill>
          <a:ln>
            <a:noFill/>
          </a:ln>
          <a:effectLst/>
        </c:spPr>
      </c:pivotFmt>
      <c:pivotFmt>
        <c:idx val="8"/>
        <c:spPr>
          <a:solidFill>
            <a:srgbClr val="FF0000"/>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pivotFmt>
      <c:pivotFmt>
        <c:idx val="11"/>
        <c:spPr>
          <a:solidFill>
            <a:srgbClr val="FF0000"/>
          </a:solidFill>
          <a:ln>
            <a:noFill/>
          </a:ln>
          <a:effectLst/>
        </c:spPr>
      </c:pivotFmt>
      <c:pivotFmt>
        <c:idx val="12"/>
        <c:spPr>
          <a:solidFill>
            <a:srgbClr val="FF0000"/>
          </a:solidFill>
          <a:ln>
            <a:noFill/>
          </a:ln>
          <a:effectLst/>
        </c:spPr>
      </c:pivotFmt>
    </c:pivotFmts>
    <c:plotArea>
      <c:layout>
        <c:manualLayout>
          <c:layoutTarget val="inner"/>
          <c:xMode val="edge"/>
          <c:yMode val="edge"/>
          <c:x val="0.10795545390267702"/>
          <c:y val="8.8924438029512803E-2"/>
          <c:w val="0.83256339998947004"/>
          <c:h val="0.8328467153284671"/>
        </c:manualLayout>
      </c:layout>
      <c:barChart>
        <c:barDir val="col"/>
        <c:grouping val="clustered"/>
        <c:varyColors val="0"/>
        <c:ser>
          <c:idx val="0"/>
          <c:order val="0"/>
          <c:tx>
            <c:strRef>
              <c:f>'model w highest sales lost'!$B$3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0DBE-48C6-AC47-1F84F3E99CA6}"/>
              </c:ext>
            </c:extLst>
          </c:dPt>
          <c:dPt>
            <c:idx val="1"/>
            <c:invertIfNegative val="0"/>
            <c:bubble3D val="0"/>
            <c:spPr>
              <a:solidFill>
                <a:srgbClr val="FF0000"/>
              </a:solidFill>
              <a:ln>
                <a:noFill/>
              </a:ln>
              <a:effectLst/>
            </c:spPr>
            <c:extLst>
              <c:ext xmlns:c16="http://schemas.microsoft.com/office/drawing/2014/chart" uri="{C3380CC4-5D6E-409C-BE32-E72D297353CC}">
                <c16:uniqueId val="{00000003-0DBE-48C6-AC47-1F84F3E99CA6}"/>
              </c:ext>
            </c:extLst>
          </c:dPt>
          <c:dPt>
            <c:idx val="2"/>
            <c:invertIfNegative val="0"/>
            <c:bubble3D val="0"/>
            <c:spPr>
              <a:solidFill>
                <a:srgbClr val="FF0000"/>
              </a:solidFill>
              <a:ln>
                <a:noFill/>
              </a:ln>
              <a:effectLst/>
            </c:spPr>
            <c:extLst>
              <c:ext xmlns:c16="http://schemas.microsoft.com/office/drawing/2014/chart" uri="{C3380CC4-5D6E-409C-BE32-E72D297353CC}">
                <c16:uniqueId val="{00000005-0DBE-48C6-AC47-1F84F3E99CA6}"/>
              </c:ext>
            </c:extLst>
          </c:dPt>
          <c:cat>
            <c:strRef>
              <c:f>'model w highest sales lost'!$A$4:$A$14</c:f>
              <c:strCache>
                <c:ptCount val="10"/>
                <c:pt idx="0">
                  <c:v>Dominar 400</c:v>
                </c:pt>
                <c:pt idx="1">
                  <c:v>Pulsar N400</c:v>
                </c:pt>
                <c:pt idx="2">
                  <c:v>Pulsar NS400</c:v>
                </c:pt>
                <c:pt idx="3">
                  <c:v>Dominar 250</c:v>
                </c:pt>
                <c:pt idx="4">
                  <c:v>Avenger Cruise 220</c:v>
                </c:pt>
                <c:pt idx="5">
                  <c:v>Avenger Street 160</c:v>
                </c:pt>
                <c:pt idx="6">
                  <c:v>Pulsar RS200</c:v>
                </c:pt>
                <c:pt idx="7">
                  <c:v>Pulsar NS200</c:v>
                </c:pt>
                <c:pt idx="8">
                  <c:v>Pulsar 220F</c:v>
                </c:pt>
                <c:pt idx="9">
                  <c:v>Pulsar NS160</c:v>
                </c:pt>
              </c:strCache>
            </c:strRef>
          </c:cat>
          <c:val>
            <c:numRef>
              <c:f>'model w highest sales lost'!$B$4:$B$14</c:f>
              <c:numCache>
                <c:formatCode>0</c:formatCode>
                <c:ptCount val="10"/>
                <c:pt idx="0">
                  <c:v>-38826.150000000009</c:v>
                </c:pt>
                <c:pt idx="1">
                  <c:v>-30159.000000000015</c:v>
                </c:pt>
                <c:pt idx="2">
                  <c:v>-24651.150000000009</c:v>
                </c:pt>
                <c:pt idx="3">
                  <c:v>16739.350000000017</c:v>
                </c:pt>
                <c:pt idx="4">
                  <c:v>24673.300000000017</c:v>
                </c:pt>
                <c:pt idx="5">
                  <c:v>32699.10000000002</c:v>
                </c:pt>
                <c:pt idx="6">
                  <c:v>33005.950000000033</c:v>
                </c:pt>
                <c:pt idx="7">
                  <c:v>58454.15000000006</c:v>
                </c:pt>
                <c:pt idx="8">
                  <c:v>66208.500000000044</c:v>
                </c:pt>
                <c:pt idx="9">
                  <c:v>83668.200000000099</c:v>
                </c:pt>
              </c:numCache>
            </c:numRef>
          </c:val>
          <c:extLst>
            <c:ext xmlns:c16="http://schemas.microsoft.com/office/drawing/2014/chart" uri="{C3380CC4-5D6E-409C-BE32-E72D297353CC}">
              <c16:uniqueId val="{00000006-0DBE-48C6-AC47-1F84F3E99CA6}"/>
            </c:ext>
          </c:extLst>
        </c:ser>
        <c:dLbls>
          <c:showLegendKey val="0"/>
          <c:showVal val="0"/>
          <c:showCatName val="0"/>
          <c:showSerName val="0"/>
          <c:showPercent val="0"/>
          <c:showBubbleSize val="0"/>
        </c:dLbls>
        <c:gapWidth val="219"/>
        <c:axId val="172811855"/>
        <c:axId val="172812815"/>
      </c:barChart>
      <c:catAx>
        <c:axId val="172811855"/>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12815"/>
        <c:crosses val="autoZero"/>
        <c:auto val="1"/>
        <c:lblAlgn val="ctr"/>
        <c:lblOffset val="1000"/>
        <c:noMultiLvlLbl val="0"/>
      </c:catAx>
      <c:valAx>
        <c:axId val="172812815"/>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1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289560</xdr:colOff>
      <xdr:row>6</xdr:row>
      <xdr:rowOff>91440</xdr:rowOff>
    </xdr:from>
    <xdr:to>
      <xdr:col>8</xdr:col>
      <xdr:colOff>381000</xdr:colOff>
      <xdr:row>25</xdr:row>
      <xdr:rowOff>7620</xdr:rowOff>
    </xdr:to>
    <xdr:graphicFrame macro="">
      <xdr:nvGraphicFramePr>
        <xdr:cNvPr id="2" name="Chart 1">
          <a:extLst>
            <a:ext uri="{FF2B5EF4-FFF2-40B4-BE49-F238E27FC236}">
              <a16:creationId xmlns:a16="http://schemas.microsoft.com/office/drawing/2014/main" id="{5F7168B0-E7BA-421B-D1B2-130D2DFDA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601980</xdr:colOff>
      <xdr:row>6</xdr:row>
      <xdr:rowOff>114300</xdr:rowOff>
    </xdr:from>
    <xdr:to>
      <xdr:col>16</xdr:col>
      <xdr:colOff>297180</xdr:colOff>
      <xdr:row>25</xdr:row>
      <xdr:rowOff>30480</xdr:rowOff>
    </xdr:to>
    <xdr:graphicFrame macro="">
      <xdr:nvGraphicFramePr>
        <xdr:cNvPr id="4" name="Chart 3">
          <a:extLst>
            <a:ext uri="{FF2B5EF4-FFF2-40B4-BE49-F238E27FC236}">
              <a16:creationId xmlns:a16="http://schemas.microsoft.com/office/drawing/2014/main" id="{F1F84137-9D9B-4022-B624-D31CFE03F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10</xdr:row>
      <xdr:rowOff>34290</xdr:rowOff>
    </xdr:from>
    <xdr:to>
      <xdr:col>10</xdr:col>
      <xdr:colOff>0</xdr:colOff>
      <xdr:row>25</xdr:row>
      <xdr:rowOff>34290</xdr:rowOff>
    </xdr:to>
    <xdr:graphicFrame macro="">
      <xdr:nvGraphicFramePr>
        <xdr:cNvPr id="2" name="Chart 1">
          <a:extLst>
            <a:ext uri="{FF2B5EF4-FFF2-40B4-BE49-F238E27FC236}">
              <a16:creationId xmlns:a16="http://schemas.microsoft.com/office/drawing/2014/main" id="{35D3126B-9B29-5CF5-C231-E38A213FF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38101</xdr:colOff>
      <xdr:row>4</xdr:row>
      <xdr:rowOff>92111</xdr:rowOff>
    </xdr:from>
    <xdr:to>
      <xdr:col>14</xdr:col>
      <xdr:colOff>385187</xdr:colOff>
      <xdr:row>21</xdr:row>
      <xdr:rowOff>8375</xdr:rowOff>
    </xdr:to>
    <xdr:graphicFrame macro="">
      <xdr:nvGraphicFramePr>
        <xdr:cNvPr id="2" name="Chart 1">
          <a:extLst>
            <a:ext uri="{FF2B5EF4-FFF2-40B4-BE49-F238E27FC236}">
              <a16:creationId xmlns:a16="http://schemas.microsoft.com/office/drawing/2014/main" id="{1C16B8A5-0841-4847-9967-B2B54588C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365760</xdr:colOff>
      <xdr:row>8</xdr:row>
      <xdr:rowOff>106680</xdr:rowOff>
    </xdr:from>
    <xdr:to>
      <xdr:col>9</xdr:col>
      <xdr:colOff>563880</xdr:colOff>
      <xdr:row>23</xdr:row>
      <xdr:rowOff>106680</xdr:rowOff>
    </xdr:to>
    <xdr:graphicFrame macro="">
      <xdr:nvGraphicFramePr>
        <xdr:cNvPr id="2" name="Chart 1">
          <a:extLst>
            <a:ext uri="{FF2B5EF4-FFF2-40B4-BE49-F238E27FC236}">
              <a16:creationId xmlns:a16="http://schemas.microsoft.com/office/drawing/2014/main" id="{9DF669E4-CBD6-29C5-184E-BBE2A5E11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365760</xdr:colOff>
      <xdr:row>8</xdr:row>
      <xdr:rowOff>152400</xdr:rowOff>
    </xdr:from>
    <xdr:to>
      <xdr:col>12</xdr:col>
      <xdr:colOff>441960</xdr:colOff>
      <xdr:row>25</xdr:row>
      <xdr:rowOff>144780</xdr:rowOff>
    </xdr:to>
    <xdr:graphicFrame macro="">
      <xdr:nvGraphicFramePr>
        <xdr:cNvPr id="2" name="Chart 1">
          <a:extLst>
            <a:ext uri="{FF2B5EF4-FFF2-40B4-BE49-F238E27FC236}">
              <a16:creationId xmlns:a16="http://schemas.microsoft.com/office/drawing/2014/main" id="{01DEC329-8B1B-B58B-4766-557112B57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132806</xdr:colOff>
      <xdr:row>1</xdr:row>
      <xdr:rowOff>0</xdr:rowOff>
    </xdr:from>
    <xdr:to>
      <xdr:col>19</xdr:col>
      <xdr:colOff>489585</xdr:colOff>
      <xdr:row>32</xdr:row>
      <xdr:rowOff>141514</xdr:rowOff>
    </xdr:to>
    <xdr:graphicFrame macro="">
      <xdr:nvGraphicFramePr>
        <xdr:cNvPr id="2" name="Chart 1">
          <a:extLst>
            <a:ext uri="{FF2B5EF4-FFF2-40B4-BE49-F238E27FC236}">
              <a16:creationId xmlns:a16="http://schemas.microsoft.com/office/drawing/2014/main" id="{CEBED63F-E171-09D8-0138-DAFCDAF32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14</xdr:col>
      <xdr:colOff>167640</xdr:colOff>
      <xdr:row>16</xdr:row>
      <xdr:rowOff>144780</xdr:rowOff>
    </xdr:from>
    <xdr:ext cx="2286000" cy="374141"/>
    <xdr:sp macro="" textlink="">
      <xdr:nvSpPr>
        <xdr:cNvPr id="25" name="TextBox 24">
          <a:extLst>
            <a:ext uri="{FF2B5EF4-FFF2-40B4-BE49-F238E27FC236}">
              <a16:creationId xmlns:a16="http://schemas.microsoft.com/office/drawing/2014/main" id="{586D6AD3-2989-7D5F-2703-B1D88967208A}"/>
            </a:ext>
          </a:extLst>
        </xdr:cNvPr>
        <xdr:cNvSpPr txBox="1"/>
      </xdr:nvSpPr>
      <xdr:spPr>
        <a:xfrm>
          <a:off x="8991600" y="3070860"/>
          <a:ext cx="2286000" cy="3741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none" lIns="90000" rtlCol="0" anchor="t">
          <a:noAutofit/>
        </a:bodyPr>
        <a:lstStyle/>
        <a:p>
          <a:pPr algn="ctr"/>
          <a:endParaRPr lang="en-IN" sz="2200" b="1"/>
        </a:p>
      </xdr:txBody>
    </xdr:sp>
    <xdr:clientData/>
  </xdr:oneCellAnchor>
  <xdr:twoCellAnchor>
    <xdr:from>
      <xdr:col>1</xdr:col>
      <xdr:colOff>106680</xdr:colOff>
      <xdr:row>2</xdr:row>
      <xdr:rowOff>60960</xdr:rowOff>
    </xdr:from>
    <xdr:to>
      <xdr:col>21</xdr:col>
      <xdr:colOff>518160</xdr:colOff>
      <xdr:row>36</xdr:row>
      <xdr:rowOff>25400</xdr:rowOff>
    </xdr:to>
    <xdr:sp macro="" textlink="">
      <xdr:nvSpPr>
        <xdr:cNvPr id="2" name="Rectangle: Rounded Corners 1">
          <a:extLst>
            <a:ext uri="{FF2B5EF4-FFF2-40B4-BE49-F238E27FC236}">
              <a16:creationId xmlns:a16="http://schemas.microsoft.com/office/drawing/2014/main" id="{C822483F-BD8C-3D92-8298-EFC7B20AFB2B}"/>
            </a:ext>
          </a:extLst>
        </xdr:cNvPr>
        <xdr:cNvSpPr/>
      </xdr:nvSpPr>
      <xdr:spPr>
        <a:xfrm>
          <a:off x="1410547" y="433493"/>
          <a:ext cx="12603480" cy="6297507"/>
        </a:xfrm>
        <a:prstGeom prst="roundRect">
          <a:avLst>
            <a:gd name="adj" fmla="val 727"/>
          </a:avLst>
        </a:prstGeom>
        <a:solidFill>
          <a:schemeClr val="bg1">
            <a:lumMod val="95000"/>
          </a:schemeClr>
        </a:solidFill>
        <a:ln>
          <a:solidFill>
            <a:srgbClr val="39874A"/>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279400</xdr:colOff>
      <xdr:row>8</xdr:row>
      <xdr:rowOff>177801</xdr:rowOff>
    </xdr:from>
    <xdr:to>
      <xdr:col>21</xdr:col>
      <xdr:colOff>431800</xdr:colOff>
      <xdr:row>22</xdr:row>
      <xdr:rowOff>76200</xdr:rowOff>
    </xdr:to>
    <xdr:sp macro="" textlink="">
      <xdr:nvSpPr>
        <xdr:cNvPr id="48" name="Rectangle: Rounded Corners 47">
          <a:extLst>
            <a:ext uri="{FF2B5EF4-FFF2-40B4-BE49-F238E27FC236}">
              <a16:creationId xmlns:a16="http://schemas.microsoft.com/office/drawing/2014/main" id="{ECE806D6-A59E-2370-A5A2-78091D1E74F1}"/>
            </a:ext>
          </a:extLst>
        </xdr:cNvPr>
        <xdr:cNvSpPr/>
      </xdr:nvSpPr>
      <xdr:spPr>
        <a:xfrm>
          <a:off x="1583267" y="1667934"/>
          <a:ext cx="12344400" cy="2506133"/>
        </a:xfrm>
        <a:prstGeom prst="roundRect">
          <a:avLst>
            <a:gd name="adj" fmla="val 2283"/>
          </a:avLst>
        </a:prstGeom>
        <a:solidFill>
          <a:srgbClr val="39874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372533</xdr:colOff>
      <xdr:row>9</xdr:row>
      <xdr:rowOff>60961</xdr:rowOff>
    </xdr:from>
    <xdr:to>
      <xdr:col>10</xdr:col>
      <xdr:colOff>259080</xdr:colOff>
      <xdr:row>22</xdr:row>
      <xdr:rowOff>8466</xdr:rowOff>
    </xdr:to>
    <xdr:graphicFrame macro="">
      <xdr:nvGraphicFramePr>
        <xdr:cNvPr id="23" name="Chart 22">
          <a:extLst>
            <a:ext uri="{FF2B5EF4-FFF2-40B4-BE49-F238E27FC236}">
              <a16:creationId xmlns:a16="http://schemas.microsoft.com/office/drawing/2014/main" id="{D4E02248-4C58-4272-ACC4-18339A1CB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289560</xdr:colOff>
      <xdr:row>3</xdr:row>
      <xdr:rowOff>60960</xdr:rowOff>
    </xdr:from>
    <xdr:to>
      <xdr:col>11</xdr:col>
      <xdr:colOff>312420</xdr:colOff>
      <xdr:row>8</xdr:row>
      <xdr:rowOff>38100</xdr:rowOff>
    </xdr:to>
    <xdr:sp macro="" textlink="">
      <xdr:nvSpPr>
        <xdr:cNvPr id="24" name="Rectangle: Rounded Corners 23">
          <a:extLst>
            <a:ext uri="{FF2B5EF4-FFF2-40B4-BE49-F238E27FC236}">
              <a16:creationId xmlns:a16="http://schemas.microsoft.com/office/drawing/2014/main" id="{F2793471-49EA-6524-76B9-2038DEFE37AC}"/>
            </a:ext>
          </a:extLst>
        </xdr:cNvPr>
        <xdr:cNvSpPr/>
      </xdr:nvSpPr>
      <xdr:spPr>
        <a:xfrm>
          <a:off x="1593427" y="619760"/>
          <a:ext cx="6118860" cy="908473"/>
        </a:xfrm>
        <a:prstGeom prst="roundRect">
          <a:avLst>
            <a:gd name="adj" fmla="val 6415"/>
          </a:avLst>
        </a:prstGeom>
        <a:solidFill>
          <a:schemeClr val="bg1"/>
        </a:solidFill>
        <a:ln>
          <a:solidFill>
            <a:srgbClr val="39874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b="1">
              <a:solidFill>
                <a:schemeClr val="tx1"/>
              </a:solidFill>
            </a:rPr>
            <a:t>TOTAL SALES</a:t>
          </a:r>
        </a:p>
      </xdr:txBody>
    </xdr:sp>
    <xdr:clientData/>
  </xdr:twoCellAnchor>
  <xdr:twoCellAnchor>
    <xdr:from>
      <xdr:col>1</xdr:col>
      <xdr:colOff>381000</xdr:colOff>
      <xdr:row>5</xdr:row>
      <xdr:rowOff>160020</xdr:rowOff>
    </xdr:from>
    <xdr:to>
      <xdr:col>6</xdr:col>
      <xdr:colOff>220980</xdr:colOff>
      <xdr:row>7</xdr:row>
      <xdr:rowOff>114300</xdr:rowOff>
    </xdr:to>
    <xdr:sp macro="" textlink="">
      <xdr:nvSpPr>
        <xdr:cNvPr id="26" name="TextBox 25">
          <a:extLst>
            <a:ext uri="{FF2B5EF4-FFF2-40B4-BE49-F238E27FC236}">
              <a16:creationId xmlns:a16="http://schemas.microsoft.com/office/drawing/2014/main" id="{C8DE1A79-0CC2-CAAE-AAFC-E7F78859F24D}"/>
            </a:ext>
          </a:extLst>
        </xdr:cNvPr>
        <xdr:cNvSpPr txBox="1"/>
      </xdr:nvSpPr>
      <xdr:spPr>
        <a:xfrm>
          <a:off x="1280160" y="1074420"/>
          <a:ext cx="288798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PRE POLICY:</a:t>
          </a:r>
          <a:r>
            <a:rPr lang="en-IN" sz="1600" b="1" baseline="0"/>
            <a:t>   </a:t>
          </a:r>
          <a:r>
            <a:rPr lang="en-IN" sz="1600" b="1" i="0" u="none" strike="noStrike">
              <a:solidFill>
                <a:schemeClr val="dk1"/>
              </a:solidFill>
              <a:effectLst/>
              <a:latin typeface="+mn-lt"/>
              <a:ea typeface="+mn-ea"/>
              <a:cs typeface="+mn-cs"/>
            </a:rPr>
            <a:t>19.3M</a:t>
          </a:r>
          <a:endParaRPr lang="en-IN" sz="1600" b="1"/>
        </a:p>
      </xdr:txBody>
    </xdr:sp>
    <xdr:clientData/>
  </xdr:twoCellAnchor>
  <xdr:twoCellAnchor>
    <xdr:from>
      <xdr:col>6</xdr:col>
      <xdr:colOff>350520</xdr:colOff>
      <xdr:row>5</xdr:row>
      <xdr:rowOff>167640</xdr:rowOff>
    </xdr:from>
    <xdr:to>
      <xdr:col>11</xdr:col>
      <xdr:colOff>213360</xdr:colOff>
      <xdr:row>7</xdr:row>
      <xdr:rowOff>121920</xdr:rowOff>
    </xdr:to>
    <xdr:sp macro="" textlink="">
      <xdr:nvSpPr>
        <xdr:cNvPr id="29" name="TextBox 28">
          <a:extLst>
            <a:ext uri="{FF2B5EF4-FFF2-40B4-BE49-F238E27FC236}">
              <a16:creationId xmlns:a16="http://schemas.microsoft.com/office/drawing/2014/main" id="{AFE56372-7AC1-47D1-B583-0A27036DFFFD}"/>
            </a:ext>
          </a:extLst>
        </xdr:cNvPr>
        <xdr:cNvSpPr txBox="1"/>
      </xdr:nvSpPr>
      <xdr:spPr>
        <a:xfrm>
          <a:off x="4297680" y="1082040"/>
          <a:ext cx="291084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POST POLICY:</a:t>
          </a:r>
          <a:r>
            <a:rPr lang="en-IN" sz="1600" b="1" baseline="0"/>
            <a:t>  </a:t>
          </a:r>
          <a:r>
            <a:rPr lang="en-IN" sz="1600" b="1" i="0" u="none" strike="noStrike">
              <a:solidFill>
                <a:schemeClr val="dk1"/>
              </a:solidFill>
              <a:effectLst/>
              <a:latin typeface="+mn-lt"/>
              <a:ea typeface="+mn-ea"/>
              <a:cs typeface="+mn-cs"/>
            </a:rPr>
            <a:t>21.4M</a:t>
          </a:r>
          <a:endParaRPr lang="en-IN" sz="1600" b="1"/>
        </a:p>
      </xdr:txBody>
    </xdr:sp>
    <xdr:clientData/>
  </xdr:twoCellAnchor>
  <xdr:twoCellAnchor>
    <xdr:from>
      <xdr:col>11</xdr:col>
      <xdr:colOff>472440</xdr:colOff>
      <xdr:row>3</xdr:row>
      <xdr:rowOff>68580</xdr:rowOff>
    </xdr:from>
    <xdr:to>
      <xdr:col>21</xdr:col>
      <xdr:colOff>419100</xdr:colOff>
      <xdr:row>8</xdr:row>
      <xdr:rowOff>45720</xdr:rowOff>
    </xdr:to>
    <xdr:sp macro="" textlink="">
      <xdr:nvSpPr>
        <xdr:cNvPr id="36" name="Rectangle: Rounded Corners 35">
          <a:extLst>
            <a:ext uri="{FF2B5EF4-FFF2-40B4-BE49-F238E27FC236}">
              <a16:creationId xmlns:a16="http://schemas.microsoft.com/office/drawing/2014/main" id="{DDC681FD-FA55-4012-99C4-40239A91C43E}"/>
            </a:ext>
          </a:extLst>
        </xdr:cNvPr>
        <xdr:cNvSpPr/>
      </xdr:nvSpPr>
      <xdr:spPr>
        <a:xfrm>
          <a:off x="7872307" y="627380"/>
          <a:ext cx="6042660" cy="908473"/>
        </a:xfrm>
        <a:prstGeom prst="roundRect">
          <a:avLst>
            <a:gd name="adj" fmla="val 5483"/>
          </a:avLst>
        </a:prstGeom>
        <a:solidFill>
          <a:schemeClr val="bg1"/>
        </a:solidFill>
        <a:ln>
          <a:solidFill>
            <a:srgbClr val="39874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b="1">
              <a:solidFill>
                <a:schemeClr val="tx1"/>
              </a:solidFill>
            </a:rPr>
            <a:t>TOTAL REVENUE</a:t>
          </a:r>
        </a:p>
      </xdr:txBody>
    </xdr:sp>
    <xdr:clientData/>
  </xdr:twoCellAnchor>
  <xdr:twoCellAnchor>
    <xdr:from>
      <xdr:col>11</xdr:col>
      <xdr:colOff>586740</xdr:colOff>
      <xdr:row>6</xdr:row>
      <xdr:rowOff>7620</xdr:rowOff>
    </xdr:from>
    <xdr:to>
      <xdr:col>16</xdr:col>
      <xdr:colOff>426720</xdr:colOff>
      <xdr:row>7</xdr:row>
      <xdr:rowOff>144780</xdr:rowOff>
    </xdr:to>
    <xdr:sp macro="" textlink="">
      <xdr:nvSpPr>
        <xdr:cNvPr id="40" name="TextBox 39">
          <a:extLst>
            <a:ext uri="{FF2B5EF4-FFF2-40B4-BE49-F238E27FC236}">
              <a16:creationId xmlns:a16="http://schemas.microsoft.com/office/drawing/2014/main" id="{BF51AE6A-7CEA-4E81-9AAF-AA0E327277FB}"/>
            </a:ext>
          </a:extLst>
        </xdr:cNvPr>
        <xdr:cNvSpPr txBox="1"/>
      </xdr:nvSpPr>
      <xdr:spPr>
        <a:xfrm>
          <a:off x="7581900" y="1104900"/>
          <a:ext cx="288798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PRE POLICY:</a:t>
          </a:r>
          <a:r>
            <a:rPr lang="en-IN" sz="1600" b="1" baseline="0"/>
            <a:t>    </a:t>
          </a:r>
          <a:r>
            <a:rPr lang="en-IN" sz="1600" b="1" i="0" u="none" strike="noStrike">
              <a:solidFill>
                <a:schemeClr val="dk1"/>
              </a:solidFill>
              <a:effectLst/>
              <a:latin typeface="+mn-lt"/>
              <a:ea typeface="+mn-ea"/>
              <a:cs typeface="+mn-cs"/>
            </a:rPr>
            <a:t>₹ 2.5T</a:t>
          </a:r>
          <a:r>
            <a:rPr lang="en-IN" sz="1600">
              <a:effectLst/>
            </a:rPr>
            <a:t> </a:t>
          </a:r>
          <a:endParaRPr lang="en-IN" sz="1600" b="1"/>
        </a:p>
      </xdr:txBody>
    </xdr:sp>
    <xdr:clientData/>
  </xdr:twoCellAnchor>
  <xdr:twoCellAnchor>
    <xdr:from>
      <xdr:col>16</xdr:col>
      <xdr:colOff>495300</xdr:colOff>
      <xdr:row>6</xdr:row>
      <xdr:rowOff>7620</xdr:rowOff>
    </xdr:from>
    <xdr:to>
      <xdr:col>21</xdr:col>
      <xdr:colOff>335280</xdr:colOff>
      <xdr:row>7</xdr:row>
      <xdr:rowOff>144780</xdr:rowOff>
    </xdr:to>
    <xdr:sp macro="" textlink="">
      <xdr:nvSpPr>
        <xdr:cNvPr id="43" name="TextBox 42">
          <a:extLst>
            <a:ext uri="{FF2B5EF4-FFF2-40B4-BE49-F238E27FC236}">
              <a16:creationId xmlns:a16="http://schemas.microsoft.com/office/drawing/2014/main" id="{E1F374E4-8F44-4297-855B-BCD9B237567F}"/>
            </a:ext>
          </a:extLst>
        </xdr:cNvPr>
        <xdr:cNvSpPr txBox="1"/>
      </xdr:nvSpPr>
      <xdr:spPr>
        <a:xfrm>
          <a:off x="10538460" y="1104900"/>
          <a:ext cx="288798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POST POLICY:</a:t>
          </a:r>
          <a:r>
            <a:rPr lang="en-IN" sz="1600" b="1" baseline="0"/>
            <a:t>    </a:t>
          </a:r>
          <a:r>
            <a:rPr lang="en-IN" sz="1600" b="1" i="0" u="none" strike="noStrike">
              <a:solidFill>
                <a:schemeClr val="dk1"/>
              </a:solidFill>
              <a:effectLst/>
              <a:latin typeface="+mn-lt"/>
              <a:ea typeface="+mn-ea"/>
              <a:cs typeface="+mn-cs"/>
            </a:rPr>
            <a:t>₹ 2.6T</a:t>
          </a:r>
          <a:r>
            <a:rPr lang="en-IN" sz="1600" b="1">
              <a:effectLst/>
            </a:rPr>
            <a:t> </a:t>
          </a:r>
          <a:endParaRPr lang="en-IN" sz="1600" b="1"/>
        </a:p>
      </xdr:txBody>
    </xdr:sp>
    <xdr:clientData/>
  </xdr:twoCellAnchor>
  <xdr:twoCellAnchor>
    <xdr:from>
      <xdr:col>1</xdr:col>
      <xdr:colOff>284480</xdr:colOff>
      <xdr:row>22</xdr:row>
      <xdr:rowOff>171027</xdr:rowOff>
    </xdr:from>
    <xdr:to>
      <xdr:col>21</xdr:col>
      <xdr:colOff>436880</xdr:colOff>
      <xdr:row>35</xdr:row>
      <xdr:rowOff>50801</xdr:rowOff>
    </xdr:to>
    <xdr:sp macro="" textlink="">
      <xdr:nvSpPr>
        <xdr:cNvPr id="56" name="Rectangle: Rounded Corners 55">
          <a:extLst>
            <a:ext uri="{FF2B5EF4-FFF2-40B4-BE49-F238E27FC236}">
              <a16:creationId xmlns:a16="http://schemas.microsoft.com/office/drawing/2014/main" id="{CE2B6EB6-44CF-45A4-983D-70B62BE3D0E6}"/>
            </a:ext>
          </a:extLst>
        </xdr:cNvPr>
        <xdr:cNvSpPr/>
      </xdr:nvSpPr>
      <xdr:spPr>
        <a:xfrm>
          <a:off x="1588347" y="4268894"/>
          <a:ext cx="12344400" cy="2301240"/>
        </a:xfrm>
        <a:prstGeom prst="roundRect">
          <a:avLst>
            <a:gd name="adj" fmla="val 2283"/>
          </a:avLst>
        </a:prstGeom>
        <a:solidFill>
          <a:srgbClr val="39874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106680</xdr:colOff>
      <xdr:row>9</xdr:row>
      <xdr:rowOff>60960</xdr:rowOff>
    </xdr:from>
    <xdr:to>
      <xdr:col>21</xdr:col>
      <xdr:colOff>372533</xdr:colOff>
      <xdr:row>21</xdr:row>
      <xdr:rowOff>169333</xdr:rowOff>
    </xdr:to>
    <xdr:graphicFrame macro="">
      <xdr:nvGraphicFramePr>
        <xdr:cNvPr id="44" name="Chart 43">
          <a:extLst>
            <a:ext uri="{FF2B5EF4-FFF2-40B4-BE49-F238E27FC236}">
              <a16:creationId xmlns:a16="http://schemas.microsoft.com/office/drawing/2014/main" id="{347C444B-CF72-40F5-A67B-6795E690F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524933</xdr:colOff>
      <xdr:row>23</xdr:row>
      <xdr:rowOff>50800</xdr:rowOff>
    </xdr:from>
    <xdr:to>
      <xdr:col>21</xdr:col>
      <xdr:colOff>389466</xdr:colOff>
      <xdr:row>34</xdr:row>
      <xdr:rowOff>169333</xdr:rowOff>
    </xdr:to>
    <xdr:graphicFrame macro="">
      <xdr:nvGraphicFramePr>
        <xdr:cNvPr id="45" name="Chart 44">
          <a:extLst>
            <a:ext uri="{FF2B5EF4-FFF2-40B4-BE49-F238E27FC236}">
              <a16:creationId xmlns:a16="http://schemas.microsoft.com/office/drawing/2014/main" id="{0068FF92-958D-4A74-9555-961706F82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330199</xdr:colOff>
      <xdr:row>9</xdr:row>
      <xdr:rowOff>73660</xdr:rowOff>
    </xdr:from>
    <xdr:to>
      <xdr:col>13</xdr:col>
      <xdr:colOff>50800</xdr:colOff>
      <xdr:row>22</xdr:row>
      <xdr:rowOff>8466</xdr:rowOff>
    </xdr:to>
    <mc:AlternateContent xmlns:mc="http://schemas.openxmlformats.org/markup-compatibility/2006">
      <mc:Choice xmlns:a14="http://schemas.microsoft.com/office/drawing/2010/main" Requires="a14">
        <xdr:graphicFrame macro="">
          <xdr:nvGraphicFramePr>
            <xdr:cNvPr id="46" name="Month">
              <a:extLst>
                <a:ext uri="{FF2B5EF4-FFF2-40B4-BE49-F238E27FC236}">
                  <a16:creationId xmlns:a16="http://schemas.microsoft.com/office/drawing/2014/main" id="{1739EABB-691A-BD3F-919C-F98F6D40F2D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120466" y="1750060"/>
              <a:ext cx="1549401" cy="2356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347132</xdr:colOff>
      <xdr:row>23</xdr:row>
      <xdr:rowOff>42334</xdr:rowOff>
    </xdr:from>
    <xdr:to>
      <xdr:col>11</xdr:col>
      <xdr:colOff>406399</xdr:colOff>
      <xdr:row>27</xdr:row>
      <xdr:rowOff>59267</xdr:rowOff>
    </xdr:to>
    <xdr:sp macro="" textlink="">
      <xdr:nvSpPr>
        <xdr:cNvPr id="47" name="Rectangle: Rounded Corners 46">
          <a:extLst>
            <a:ext uri="{FF2B5EF4-FFF2-40B4-BE49-F238E27FC236}">
              <a16:creationId xmlns:a16="http://schemas.microsoft.com/office/drawing/2014/main" id="{7A01A1AC-F72D-479C-B295-AA6DE3B195E3}"/>
            </a:ext>
          </a:extLst>
        </xdr:cNvPr>
        <xdr:cNvSpPr/>
      </xdr:nvSpPr>
      <xdr:spPr>
        <a:xfrm>
          <a:off x="1650999" y="4326467"/>
          <a:ext cx="6155267" cy="762000"/>
        </a:xfrm>
        <a:prstGeom prst="roundRect">
          <a:avLst>
            <a:gd name="adj" fmla="val 5483"/>
          </a:avLst>
        </a:prstGeom>
        <a:solidFill>
          <a:schemeClr val="bg1"/>
        </a:solidFill>
        <a:ln>
          <a:solidFill>
            <a:srgbClr val="39874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ADDITIONAL</a:t>
          </a:r>
          <a:r>
            <a:rPr lang="en-IN" sz="1600" b="1" baseline="0">
              <a:solidFill>
                <a:schemeClr val="tx1"/>
              </a:solidFill>
            </a:rPr>
            <a:t> REVENUE BY COMMUTER SEGMENT</a:t>
          </a:r>
          <a:endParaRPr lang="en-IN" sz="1600" b="1">
            <a:solidFill>
              <a:schemeClr val="tx1"/>
            </a:solidFill>
          </a:endParaRPr>
        </a:p>
      </xdr:txBody>
    </xdr:sp>
    <xdr:clientData/>
  </xdr:twoCellAnchor>
  <xdr:twoCellAnchor>
    <xdr:from>
      <xdr:col>3</xdr:col>
      <xdr:colOff>110066</xdr:colOff>
      <xdr:row>24</xdr:row>
      <xdr:rowOff>177801</xdr:rowOff>
    </xdr:from>
    <xdr:to>
      <xdr:col>9</xdr:col>
      <xdr:colOff>558800</xdr:colOff>
      <xdr:row>26</xdr:row>
      <xdr:rowOff>160868</xdr:rowOff>
    </xdr:to>
    <xdr:sp macro="" textlink="">
      <xdr:nvSpPr>
        <xdr:cNvPr id="49" name="TextBox 48">
          <a:extLst>
            <a:ext uri="{FF2B5EF4-FFF2-40B4-BE49-F238E27FC236}">
              <a16:creationId xmlns:a16="http://schemas.microsoft.com/office/drawing/2014/main" id="{081DE400-B05D-7F96-39FD-C0CF55DA661E}"/>
            </a:ext>
          </a:extLst>
        </xdr:cNvPr>
        <xdr:cNvSpPr txBox="1"/>
      </xdr:nvSpPr>
      <xdr:spPr>
        <a:xfrm>
          <a:off x="2633133" y="4648201"/>
          <a:ext cx="4106334"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dk1"/>
              </a:solidFill>
              <a:effectLst/>
              <a:latin typeface="+mn-lt"/>
              <a:ea typeface="+mn-ea"/>
              <a:cs typeface="+mn-cs"/>
            </a:rPr>
            <a:t>₹ 76B</a:t>
          </a:r>
          <a:r>
            <a:rPr lang="en-IN" sz="2000" b="1">
              <a:effectLst/>
            </a:rPr>
            <a:t> </a:t>
          </a:r>
          <a:endParaRPr lang="en-IN" sz="2000" b="1"/>
        </a:p>
      </xdr:txBody>
    </xdr:sp>
    <xdr:clientData/>
  </xdr:twoCellAnchor>
  <xdr:twoCellAnchor>
    <xdr:from>
      <xdr:col>1</xdr:col>
      <xdr:colOff>347133</xdr:colOff>
      <xdr:row>28</xdr:row>
      <xdr:rowOff>3386</xdr:rowOff>
    </xdr:from>
    <xdr:to>
      <xdr:col>11</xdr:col>
      <xdr:colOff>423333</xdr:colOff>
      <xdr:row>34</xdr:row>
      <xdr:rowOff>177800</xdr:rowOff>
    </xdr:to>
    <xdr:sp macro="" textlink="">
      <xdr:nvSpPr>
        <xdr:cNvPr id="52" name="Rectangle: Rounded Corners 51">
          <a:extLst>
            <a:ext uri="{FF2B5EF4-FFF2-40B4-BE49-F238E27FC236}">
              <a16:creationId xmlns:a16="http://schemas.microsoft.com/office/drawing/2014/main" id="{8D20BEFF-531A-DBFA-304B-CB698F369F9B}"/>
            </a:ext>
          </a:extLst>
        </xdr:cNvPr>
        <xdr:cNvSpPr/>
      </xdr:nvSpPr>
      <xdr:spPr>
        <a:xfrm>
          <a:off x="1651000" y="5218853"/>
          <a:ext cx="6172200" cy="1292014"/>
        </a:xfrm>
        <a:prstGeom prst="roundRect">
          <a:avLst>
            <a:gd name="adj" fmla="val 5483"/>
          </a:avLst>
        </a:prstGeom>
        <a:solidFill>
          <a:schemeClr val="bg1"/>
        </a:solidFill>
        <a:ln>
          <a:solidFill>
            <a:srgbClr val="39874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PRICE CHANGE FOR EACH SEGMENT</a:t>
          </a:r>
        </a:p>
      </xdr:txBody>
    </xdr:sp>
    <xdr:clientData/>
  </xdr:twoCellAnchor>
  <xdr:twoCellAnchor>
    <xdr:from>
      <xdr:col>1</xdr:col>
      <xdr:colOff>440267</xdr:colOff>
      <xdr:row>30</xdr:row>
      <xdr:rowOff>0</xdr:rowOff>
    </xdr:from>
    <xdr:to>
      <xdr:col>4</xdr:col>
      <xdr:colOff>491066</xdr:colOff>
      <xdr:row>34</xdr:row>
      <xdr:rowOff>25400</xdr:rowOff>
    </xdr:to>
    <xdr:sp macro="" textlink="">
      <xdr:nvSpPr>
        <xdr:cNvPr id="53" name="Rectangle: Rounded Corners 52">
          <a:extLst>
            <a:ext uri="{FF2B5EF4-FFF2-40B4-BE49-F238E27FC236}">
              <a16:creationId xmlns:a16="http://schemas.microsoft.com/office/drawing/2014/main" id="{F73E36B4-02DE-798B-8356-5BCABD3E2C4C}"/>
            </a:ext>
          </a:extLst>
        </xdr:cNvPr>
        <xdr:cNvSpPr/>
      </xdr:nvSpPr>
      <xdr:spPr>
        <a:xfrm>
          <a:off x="1744134" y="5588000"/>
          <a:ext cx="1879599" cy="770467"/>
        </a:xfrm>
        <a:prstGeom prst="roundRect">
          <a:avLst>
            <a:gd name="adj" fmla="val 4579"/>
          </a:avLst>
        </a:prstGeom>
        <a:solidFill>
          <a:srgbClr val="3987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COMMUTER</a:t>
          </a:r>
        </a:p>
        <a:p>
          <a:pPr algn="ctr"/>
          <a:r>
            <a:rPr lang="en-IN" sz="2400" b="1" i="0" u="none" strike="noStrike">
              <a:solidFill>
                <a:schemeClr val="lt1"/>
              </a:solidFill>
              <a:effectLst/>
              <a:latin typeface="+mn-lt"/>
              <a:ea typeface="+mn-ea"/>
              <a:cs typeface="+mn-cs"/>
            </a:rPr>
            <a:t>-₹ 8,000</a:t>
          </a:r>
          <a:r>
            <a:rPr lang="en-IN" sz="2400" b="1">
              <a:effectLst/>
            </a:rPr>
            <a:t> </a:t>
          </a:r>
          <a:endParaRPr lang="en-IN" sz="2400" b="1"/>
        </a:p>
      </xdr:txBody>
    </xdr:sp>
    <xdr:clientData/>
  </xdr:twoCellAnchor>
  <xdr:twoCellAnchor>
    <xdr:from>
      <xdr:col>5</xdr:col>
      <xdr:colOff>59268</xdr:colOff>
      <xdr:row>30</xdr:row>
      <xdr:rowOff>0</xdr:rowOff>
    </xdr:from>
    <xdr:to>
      <xdr:col>8</xdr:col>
      <xdr:colOff>93133</xdr:colOff>
      <xdr:row>34</xdr:row>
      <xdr:rowOff>25400</xdr:rowOff>
    </xdr:to>
    <xdr:sp macro="" textlink="">
      <xdr:nvSpPr>
        <xdr:cNvPr id="54" name="Rectangle: Rounded Corners 53">
          <a:extLst>
            <a:ext uri="{FF2B5EF4-FFF2-40B4-BE49-F238E27FC236}">
              <a16:creationId xmlns:a16="http://schemas.microsoft.com/office/drawing/2014/main" id="{B27194F2-119C-4526-BFB3-AD4DDF3FD28F}"/>
            </a:ext>
          </a:extLst>
        </xdr:cNvPr>
        <xdr:cNvSpPr/>
      </xdr:nvSpPr>
      <xdr:spPr>
        <a:xfrm>
          <a:off x="3801535" y="5588000"/>
          <a:ext cx="1862665" cy="770467"/>
        </a:xfrm>
        <a:prstGeom prst="roundRect">
          <a:avLst>
            <a:gd name="adj" fmla="val 4579"/>
          </a:avLst>
        </a:prstGeom>
        <a:solidFill>
          <a:srgbClr val="3987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MID-RANGE</a:t>
          </a:r>
          <a:endParaRPr lang="en-IN" sz="1800" b="1" i="0" u="none" strike="noStrike">
            <a:solidFill>
              <a:schemeClr val="lt1"/>
            </a:solidFill>
            <a:effectLst/>
            <a:latin typeface="+mn-lt"/>
            <a:ea typeface="+mn-ea"/>
            <a:cs typeface="+mn-cs"/>
          </a:endParaRPr>
        </a:p>
        <a:p>
          <a:pPr algn="ctr"/>
          <a:r>
            <a:rPr lang="en-IN" sz="2400" b="1" i="0" u="none" strike="noStrike">
              <a:solidFill>
                <a:schemeClr val="lt1"/>
              </a:solidFill>
              <a:effectLst/>
              <a:latin typeface="+mn-lt"/>
              <a:ea typeface="+mn-ea"/>
              <a:cs typeface="+mn-cs"/>
            </a:rPr>
            <a:t>-₹ 14,357</a:t>
          </a:r>
          <a:r>
            <a:rPr lang="en-IN" sz="2400" b="1">
              <a:effectLst/>
            </a:rPr>
            <a:t> </a:t>
          </a:r>
          <a:endParaRPr lang="en-IN" sz="2400" b="1"/>
        </a:p>
      </xdr:txBody>
    </xdr:sp>
    <xdr:clientData/>
  </xdr:twoCellAnchor>
  <xdr:twoCellAnchor>
    <xdr:from>
      <xdr:col>8</xdr:col>
      <xdr:colOff>262465</xdr:colOff>
      <xdr:row>30</xdr:row>
      <xdr:rowOff>8467</xdr:rowOff>
    </xdr:from>
    <xdr:to>
      <xdr:col>11</xdr:col>
      <xdr:colOff>338666</xdr:colOff>
      <xdr:row>34</xdr:row>
      <xdr:rowOff>33867</xdr:rowOff>
    </xdr:to>
    <xdr:sp macro="" textlink="">
      <xdr:nvSpPr>
        <xdr:cNvPr id="55" name="Rectangle: Rounded Corners 54">
          <a:extLst>
            <a:ext uri="{FF2B5EF4-FFF2-40B4-BE49-F238E27FC236}">
              <a16:creationId xmlns:a16="http://schemas.microsoft.com/office/drawing/2014/main" id="{6E65E4BD-80A8-452E-9319-1FB65ED2F11E}"/>
            </a:ext>
          </a:extLst>
        </xdr:cNvPr>
        <xdr:cNvSpPr/>
      </xdr:nvSpPr>
      <xdr:spPr>
        <a:xfrm>
          <a:off x="5833532" y="5596467"/>
          <a:ext cx="1905001" cy="770467"/>
        </a:xfrm>
        <a:prstGeom prst="roundRect">
          <a:avLst>
            <a:gd name="adj" fmla="val 4579"/>
          </a:avLst>
        </a:prstGeom>
        <a:solidFill>
          <a:srgbClr val="3987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PREMIUM</a:t>
          </a:r>
          <a:endParaRPr lang="en-IN" sz="1800" b="1" i="0" u="none" strike="noStrike">
            <a:solidFill>
              <a:schemeClr val="lt1"/>
            </a:solidFill>
            <a:effectLst/>
            <a:latin typeface="+mn-lt"/>
            <a:ea typeface="+mn-ea"/>
            <a:cs typeface="+mn-cs"/>
          </a:endParaRPr>
        </a:p>
        <a:p>
          <a:pPr algn="ctr"/>
          <a:r>
            <a:rPr lang="en-IN" sz="2400" b="1" i="0" u="none" strike="noStrike">
              <a:solidFill>
                <a:schemeClr val="lt1"/>
              </a:solidFill>
              <a:effectLst/>
              <a:latin typeface="+mn-lt"/>
              <a:ea typeface="+mn-ea"/>
              <a:cs typeface="+mn-cs"/>
            </a:rPr>
            <a:t>₹ 28,600</a:t>
          </a:r>
          <a:r>
            <a:rPr lang="en-IN" sz="2400" b="1">
              <a:effectLst/>
            </a:rPr>
            <a:t> </a:t>
          </a:r>
          <a:endParaRPr lang="en-IN" sz="2400" b="1"/>
        </a:p>
      </xdr:txBody>
    </xdr:sp>
    <xdr:clientData/>
  </xdr:twoCellAnchor>
  <xdr:twoCellAnchor editAs="oneCell">
    <xdr:from>
      <xdr:col>1</xdr:col>
      <xdr:colOff>330200</xdr:colOff>
      <xdr:row>0</xdr:row>
      <xdr:rowOff>118533</xdr:rowOff>
    </xdr:from>
    <xdr:to>
      <xdr:col>4</xdr:col>
      <xdr:colOff>211665</xdr:colOff>
      <xdr:row>8</xdr:row>
      <xdr:rowOff>136523</xdr:rowOff>
    </xdr:to>
    <xdr:pic>
      <xdr:nvPicPr>
        <xdr:cNvPr id="58" name="Picture 57">
          <a:extLst>
            <a:ext uri="{FF2B5EF4-FFF2-40B4-BE49-F238E27FC236}">
              <a16:creationId xmlns:a16="http://schemas.microsoft.com/office/drawing/2014/main" id="{A39025B6-61E7-1565-DD66-1BD2FE54787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34067" y="118533"/>
          <a:ext cx="1710265" cy="1508123"/>
        </a:xfrm>
        <a:prstGeom prst="rect">
          <a:avLst/>
        </a:prstGeom>
      </xdr:spPr>
    </xdr:pic>
    <xdr:clientData/>
  </xdr:twoCellAnchor>
  <xdr:twoCellAnchor editAs="oneCell">
    <xdr:from>
      <xdr:col>11</xdr:col>
      <xdr:colOff>524933</xdr:colOff>
      <xdr:row>0</xdr:row>
      <xdr:rowOff>143933</xdr:rowOff>
    </xdr:from>
    <xdr:to>
      <xdr:col>14</xdr:col>
      <xdr:colOff>406398</xdr:colOff>
      <xdr:row>8</xdr:row>
      <xdr:rowOff>161923</xdr:rowOff>
    </xdr:to>
    <xdr:pic>
      <xdr:nvPicPr>
        <xdr:cNvPr id="59" name="Picture 58">
          <a:extLst>
            <a:ext uri="{FF2B5EF4-FFF2-40B4-BE49-F238E27FC236}">
              <a16:creationId xmlns:a16="http://schemas.microsoft.com/office/drawing/2014/main" id="{707AA29E-CB0C-4E95-BB69-7C5118AACAC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924800" y="143933"/>
          <a:ext cx="1710265" cy="150812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fiyan Mirkar" refreshedDate="45920.184307407406" createdVersion="8" refreshedVersion="8" minRefreshableVersion="3" recordCount="495" xr:uid="{9BF09E15-C8CA-4752-8795-61A257AB2C70}">
  <cacheSource type="worksheet">
    <worksheetSource ref="A1:S496" sheet="dataprep"/>
  </cacheSource>
  <cacheFields count="22">
    <cacheField name="Date" numFmtId="164">
      <sharedItems containsSemiMixedTypes="0" containsNonDate="0" containsDate="1" containsString="0" minDate="2023-01-01T00:00:00" maxDate="2025-09-02T00:00:00" count="33">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sharedItems>
      <fieldGroup par="21"/>
    </cacheField>
    <cacheField name="Year" numFmtId="0">
      <sharedItems containsSemiMixedTypes="0" containsString="0" containsNumber="1" containsInteger="1" minValue="2023" maxValue="2025"/>
    </cacheField>
    <cacheField name="Month" numFmtId="0">
      <sharedItems count="12">
        <s v="Jan"/>
        <s v="Feb"/>
        <s v="Mar"/>
        <s v="Apr"/>
        <s v="May"/>
        <s v="Jun"/>
        <s v="Jul"/>
        <s v="Aug"/>
        <s v="Sep"/>
        <s v="Oct"/>
        <s v="Nov"/>
        <s v="Dec"/>
      </sharedItems>
    </cacheField>
    <cacheField name="Manufacturer" numFmtId="0">
      <sharedItems/>
    </cacheField>
    <cacheField name="Model" numFmtId="0">
      <sharedItems count="15">
        <s v="Platina 100"/>
        <s v="Platina 110"/>
        <s v="CT 110X"/>
        <s v="Pulsar 125"/>
        <s v="Pulsar 150"/>
        <s v="Pulsar NS160"/>
        <s v="Avenger Street 160"/>
        <s v="Pulsar NS200"/>
        <s v="Pulsar RS200"/>
        <s v="Pulsar 220F"/>
        <s v="Avenger Cruise 220"/>
        <s v="Dominar 250"/>
        <s v="Dominar 400"/>
        <s v="Pulsar N400"/>
        <s v="Pulsar NS400"/>
      </sharedItems>
    </cacheField>
    <cacheField name="Engine_cc" numFmtId="0">
      <sharedItems containsSemiMixedTypes="0" containsString="0" containsNumber="1" containsInteger="1" minValue="102" maxValue="373"/>
    </cacheField>
    <cacheField name="segment" numFmtId="0">
      <sharedItems/>
    </cacheField>
    <cacheField name="segment labels" numFmtId="0">
      <sharedItems count="3">
        <s v="Commuter"/>
        <s v="Mid-Range"/>
        <s v="Premium"/>
      </sharedItems>
    </cacheField>
    <cacheField name="Ex_Showroom_Price" numFmtId="165">
      <sharedItems containsSemiMixedTypes="0" containsString="0" containsNumber="1" containsInteger="1" minValue="65000" maxValue="245000"/>
    </cacheField>
    <cacheField name="Pre Policy GST pct" numFmtId="9">
      <sharedItems containsMixedTypes="1" containsNumber="1" minValue="0.28000000000000003" maxValue="0.28000000000000003"/>
    </cacheField>
    <cacheField name="Post policy GST pct" numFmtId="9">
      <sharedItems containsSemiMixedTypes="0" containsString="0" containsNumber="1" minValue="0.18" maxValue="0.4"/>
    </cacheField>
    <cacheField name="Pre policy price after GST" numFmtId="165">
      <sharedItems containsSemiMixedTypes="0" containsString="0" containsNumber="1" containsInteger="1" minValue="83200" maxValue="313600"/>
    </cacheField>
    <cacheField name="Post policy price after GST" numFmtId="165">
      <sharedItems containsSemiMixedTypes="0" containsString="0" containsNumber="1" containsInteger="1" minValue="76700" maxValue="343000"/>
    </cacheField>
    <cacheField name="price change" numFmtId="165">
      <sharedItems containsSemiMixedTypes="0" containsString="0" containsNumber="1" containsInteger="1" minValue="-18000" maxValue="29400"/>
    </cacheField>
    <cacheField name="pre policy revenue " numFmtId="165">
      <sharedItems containsSemiMixedTypes="0" containsString="0" containsNumber="1" containsInteger="1" minValue="1173491200" maxValue="15407603200"/>
    </cacheField>
    <cacheField name="post policy revenue " numFmtId="165">
      <sharedItems containsSemiMixedTypes="0" containsString="0" containsNumber="1" minValue="1090980100" maxValue="16334466829.999998"/>
    </cacheField>
    <cacheField name="pre_units_sold" numFmtId="0">
      <sharedItems containsSemiMixedTypes="0" containsString="0" containsNumber="1" containsInteger="1" minValue="3742" maxValue="124599"/>
    </cacheField>
    <cacheField name="post_units_sold" numFmtId="1">
      <sharedItems containsSemiMixedTypes="0" containsString="0" containsNumber="1" minValue="3180.7" maxValue="143288.84999999998"/>
    </cacheField>
    <cacheField name="difference_in_units_sold" numFmtId="1">
      <sharedItems containsSemiMixedTypes="0" containsString="0" containsNumber="1" minValue="-1680.4500000000007" maxValue="18689.849999999977"/>
    </cacheField>
    <cacheField name="Months (Date)" numFmtId="0" databaseField="0">
      <fieldGroup base="0">
        <rangePr groupBy="months" startDate="2023-01-01T00:00:00" endDate="2025-09-02T00:00:00"/>
        <groupItems count="14">
          <s v="&lt;01-01-2023"/>
          <s v="Jan"/>
          <s v="Feb"/>
          <s v="Mar"/>
          <s v="Apr"/>
          <s v="May"/>
          <s v="Jun"/>
          <s v="Jul"/>
          <s v="Aug"/>
          <s v="Sep"/>
          <s v="Oct"/>
          <s v="Nov"/>
          <s v="Dec"/>
          <s v="&gt;02-09-2025"/>
        </groupItems>
      </fieldGroup>
    </cacheField>
    <cacheField name="Quarters (Date)" numFmtId="0" databaseField="0">
      <fieldGroup base="0">
        <rangePr groupBy="quarters" startDate="2023-01-01T00:00:00" endDate="2025-09-02T00:00:00"/>
        <groupItems count="6">
          <s v="&lt;01-01-2023"/>
          <s v="Qtr1"/>
          <s v="Qtr2"/>
          <s v="Qtr3"/>
          <s v="Qtr4"/>
          <s v="&gt;02-09-2025"/>
        </groupItems>
      </fieldGroup>
    </cacheField>
    <cacheField name="Years (Date)" numFmtId="0" databaseField="0">
      <fieldGroup base="0">
        <rangePr groupBy="years" startDate="2023-01-01T00:00:00" endDate="2025-09-02T00:00:00"/>
        <groupItems count="5">
          <s v="&lt;01-01-2023"/>
          <s v="2023"/>
          <s v="2024"/>
          <s v="2025"/>
          <s v="&gt;02-09-2025"/>
        </groupItems>
      </fieldGroup>
    </cacheField>
  </cacheFields>
  <extLst>
    <ext xmlns:x14="http://schemas.microsoft.com/office/spreadsheetml/2009/9/main" uri="{725AE2AE-9491-48be-B2B4-4EB974FC3084}">
      <x14:pivotCacheDefinition pivotCacheId="16431498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fiyan Mirkar" refreshedDate="45920.18515474537" createdVersion="8" refreshedVersion="8" minRefreshableVersion="3" recordCount="495" xr:uid="{EA3EBAEC-0D5C-4A48-A5DB-55CA5F963998}">
  <cacheSource type="worksheet">
    <worksheetSource ref="C1:T496" sheet="dataprep"/>
  </cacheSource>
  <cacheFields count="18">
    <cacheField name="Month" numFmtId="0">
      <sharedItems/>
    </cacheField>
    <cacheField name="Manufacturer" numFmtId="0">
      <sharedItems/>
    </cacheField>
    <cacheField name="Model" numFmtId="0">
      <sharedItems/>
    </cacheField>
    <cacheField name="Engine_cc" numFmtId="0">
      <sharedItems containsSemiMixedTypes="0" containsString="0" containsNumber="1" containsInteger="1" minValue="102" maxValue="373"/>
    </cacheField>
    <cacheField name="segment" numFmtId="0">
      <sharedItems/>
    </cacheField>
    <cacheField name="segment labels" numFmtId="0">
      <sharedItems count="3">
        <s v="Commuter"/>
        <s v="Mid-Range"/>
        <s v="Premium"/>
      </sharedItems>
    </cacheField>
    <cacheField name="Ex_Showroom_Price" numFmtId="165">
      <sharedItems containsSemiMixedTypes="0" containsString="0" containsNumber="1" containsInteger="1" minValue="65000" maxValue="245000"/>
    </cacheField>
    <cacheField name="Pre Policy GST pct" numFmtId="9">
      <sharedItems containsMixedTypes="1" containsNumber="1" minValue="0.28000000000000003" maxValue="0.28000000000000003"/>
    </cacheField>
    <cacheField name="Post policy GST pct" numFmtId="9">
      <sharedItems containsSemiMixedTypes="0" containsString="0" containsNumber="1" minValue="0.18" maxValue="0.4"/>
    </cacheField>
    <cacheField name="Pre policy price after GST" numFmtId="165">
      <sharedItems containsSemiMixedTypes="0" containsString="0" containsNumber="1" containsInteger="1" minValue="83200" maxValue="313600"/>
    </cacheField>
    <cacheField name="Post policy price after GST" numFmtId="165">
      <sharedItems containsSemiMixedTypes="0" containsString="0" containsNumber="1" containsInteger="1" minValue="76700" maxValue="343000"/>
    </cacheField>
    <cacheField name="price change" numFmtId="165">
      <sharedItems containsSemiMixedTypes="0" containsString="0" containsNumber="1" containsInteger="1" minValue="-18000" maxValue="29400"/>
    </cacheField>
    <cacheField name="pre policy revenue " numFmtId="165">
      <sharedItems containsSemiMixedTypes="0" containsString="0" containsNumber="1" containsInteger="1" minValue="1173491200" maxValue="15407603200"/>
    </cacheField>
    <cacheField name="post policy revenue " numFmtId="165">
      <sharedItems containsSemiMixedTypes="0" containsString="0" containsNumber="1" minValue="1090980100" maxValue="16334466829.999998"/>
    </cacheField>
    <cacheField name="pre_units_sold" numFmtId="0">
      <sharedItems containsSemiMixedTypes="0" containsString="0" containsNumber="1" containsInteger="1" minValue="3742" maxValue="124599"/>
    </cacheField>
    <cacheField name="post_units_sold" numFmtId="1">
      <sharedItems containsSemiMixedTypes="0" containsString="0" containsNumber="1" minValue="3180.7" maxValue="143288.84999999998"/>
    </cacheField>
    <cacheField name="difference_in_units_sold" numFmtId="1">
      <sharedItems containsSemiMixedTypes="0" containsString="0" containsNumber="1" minValue="-1680.4500000000007" maxValue="18689.849999999977"/>
    </cacheField>
    <cacheField name="rev difference" numFmtId="165">
      <sharedItems containsSemiMixedTypes="0" containsString="0" containsNumber="1" minValue="-321132500" maxValue="926863629.9999980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5">
  <r>
    <x v="0"/>
    <n v="2023"/>
    <x v="0"/>
    <s v="Bajaj"/>
    <x v="0"/>
    <n v="102"/>
    <s v="&lt;=150"/>
    <x v="0"/>
    <n v="65000"/>
    <n v="0.28000000000000003"/>
    <n v="0.18"/>
    <n v="83200"/>
    <n v="76700"/>
    <n v="-6500"/>
    <n v="8713619200"/>
    <n v="9237797855"/>
    <n v="104731"/>
    <n v="120440.65"/>
    <n v="15709.649999999994"/>
  </r>
  <r>
    <x v="1"/>
    <n v="2023"/>
    <x v="1"/>
    <s v="Bajaj"/>
    <x v="0"/>
    <n v="102"/>
    <s v="&lt;=150"/>
    <x v="0"/>
    <n v="65000"/>
    <n v="0.28000000000000003"/>
    <n v="0.18"/>
    <n v="83200"/>
    <n v="76700"/>
    <n v="-6500"/>
    <n v="6999449600"/>
    <n v="7420510240"/>
    <n v="84128"/>
    <n v="96747.199999999997"/>
    <n v="12619.199999999997"/>
  </r>
  <r>
    <x v="2"/>
    <n v="2023"/>
    <x v="2"/>
    <s v="Bajaj"/>
    <x v="0"/>
    <n v="102"/>
    <s v="&lt;=150"/>
    <x v="0"/>
    <n v="65000"/>
    <n v="0.28000000000000003"/>
    <n v="0.18"/>
    <n v="83200"/>
    <n v="76700"/>
    <n v="-6500"/>
    <n v="8298534400"/>
    <n v="8797743110"/>
    <n v="99742"/>
    <n v="114703.29999999999"/>
    <n v="14961.299999999988"/>
  </r>
  <r>
    <x v="3"/>
    <n v="2023"/>
    <x v="3"/>
    <s v="Bajaj"/>
    <x v="0"/>
    <n v="102"/>
    <s v="&lt;=150"/>
    <x v="0"/>
    <n v="65000"/>
    <n v="0.28000000000000003"/>
    <n v="0.18"/>
    <n v="83200"/>
    <n v="76700"/>
    <n v="-6500"/>
    <n v="9394694400"/>
    <n v="9959843985"/>
    <n v="112917"/>
    <n v="129854.54999999999"/>
    <n v="16937.549999999988"/>
  </r>
  <r>
    <x v="4"/>
    <n v="2023"/>
    <x v="4"/>
    <s v="Bajaj"/>
    <x v="0"/>
    <n v="102"/>
    <s v="&lt;=150"/>
    <x v="0"/>
    <n v="65000"/>
    <n v="0.28000000000000003"/>
    <n v="0.18"/>
    <n v="83200"/>
    <n v="76700"/>
    <n v="-6500"/>
    <n v="8410438400"/>
    <n v="8916378835"/>
    <n v="101087"/>
    <n v="116250.04999999999"/>
    <n v="15163.049999999988"/>
  </r>
  <r>
    <x v="5"/>
    <n v="2023"/>
    <x v="5"/>
    <s v="Bajaj"/>
    <x v="0"/>
    <n v="102"/>
    <s v="&lt;=150"/>
    <x v="0"/>
    <n v="65000"/>
    <n v="0.28000000000000003"/>
    <n v="0.18"/>
    <n v="83200"/>
    <n v="76700"/>
    <n v="-6500"/>
    <n v="8232473600"/>
    <n v="8727708340"/>
    <n v="98948"/>
    <n v="113790.2"/>
    <n v="14842.199999999997"/>
  </r>
  <r>
    <x v="6"/>
    <n v="2023"/>
    <x v="6"/>
    <s v="Bajaj"/>
    <x v="0"/>
    <n v="102"/>
    <s v="&lt;=150"/>
    <x v="0"/>
    <n v="65000"/>
    <n v="0.28000000000000003"/>
    <n v="0.18"/>
    <n v="83200"/>
    <n v="76700"/>
    <n v="-6500"/>
    <n v="7774540800"/>
    <n v="8242228019.999999"/>
    <n v="93444"/>
    <n v="107460.59999999999"/>
    <n v="14016.599999999991"/>
  </r>
  <r>
    <x v="7"/>
    <n v="2023"/>
    <x v="7"/>
    <s v="Bajaj"/>
    <x v="0"/>
    <n v="102"/>
    <s v="&lt;=150"/>
    <x v="0"/>
    <n v="65000"/>
    <n v="0.28000000000000003"/>
    <n v="0.18"/>
    <n v="83200"/>
    <n v="76700"/>
    <n v="-6500"/>
    <n v="6396083200"/>
    <n v="6780847580"/>
    <n v="76876"/>
    <n v="88407.4"/>
    <n v="11531.399999999994"/>
  </r>
  <r>
    <x v="8"/>
    <n v="2023"/>
    <x v="8"/>
    <s v="Bajaj"/>
    <x v="0"/>
    <n v="102"/>
    <s v="&lt;=150"/>
    <x v="0"/>
    <n v="65000"/>
    <n v="0.28000000000000003"/>
    <n v="0.18"/>
    <n v="83200"/>
    <n v="76700"/>
    <n v="-6500"/>
    <n v="6806092800"/>
    <n v="7215521819.999999"/>
    <n v="81804"/>
    <n v="94074.599999999991"/>
    <n v="12270.599999999991"/>
  </r>
  <r>
    <x v="9"/>
    <n v="2023"/>
    <x v="9"/>
    <s v="Bajaj"/>
    <x v="0"/>
    <n v="102"/>
    <s v="&lt;=150"/>
    <x v="0"/>
    <n v="65000"/>
    <n v="0.28000000000000003"/>
    <n v="0.18"/>
    <n v="83200"/>
    <n v="76700"/>
    <n v="-6500"/>
    <n v="6043481600"/>
    <n v="6407034790"/>
    <n v="72638"/>
    <n v="83533.7"/>
    <n v="10895.699999999997"/>
  </r>
  <r>
    <x v="10"/>
    <n v="2023"/>
    <x v="10"/>
    <s v="Bajaj"/>
    <x v="0"/>
    <n v="102"/>
    <s v="&lt;=150"/>
    <x v="0"/>
    <n v="65000"/>
    <n v="0.28000000000000003"/>
    <n v="0.18"/>
    <n v="83200"/>
    <n v="76700"/>
    <n v="-6500"/>
    <n v="4267910400"/>
    <n v="4524651885"/>
    <n v="51297"/>
    <n v="58991.549999999996"/>
    <n v="7694.5499999999956"/>
  </r>
  <r>
    <x v="11"/>
    <n v="2023"/>
    <x v="11"/>
    <s v="Bajaj"/>
    <x v="0"/>
    <n v="102"/>
    <s v="&lt;=150"/>
    <x v="0"/>
    <n v="65000"/>
    <n v="0.28000000000000003"/>
    <n v="0.18"/>
    <n v="83200"/>
    <n v="76700"/>
    <n v="-6500"/>
    <n v="8112416000"/>
    <n v="8600428524.9999981"/>
    <n v="97505"/>
    <n v="112130.74999999999"/>
    <n v="14625.749999999985"/>
  </r>
  <r>
    <x v="12"/>
    <n v="2024"/>
    <x v="0"/>
    <s v="Bajaj"/>
    <x v="0"/>
    <n v="102"/>
    <s v="&lt;=150"/>
    <x v="0"/>
    <n v="65000"/>
    <n v="0.28000000000000003"/>
    <n v="0.18"/>
    <n v="83200"/>
    <n v="76700"/>
    <n v="-6500"/>
    <n v="9333126400"/>
    <n v="9894572285"/>
    <n v="112177"/>
    <n v="129003.54999999999"/>
    <n v="16826.549999999988"/>
  </r>
  <r>
    <x v="13"/>
    <n v="2024"/>
    <x v="1"/>
    <s v="Bajaj"/>
    <x v="0"/>
    <n v="102"/>
    <s v="&lt;=150"/>
    <x v="0"/>
    <n v="65000"/>
    <n v="0.28000000000000003"/>
    <n v="0.18"/>
    <n v="83200"/>
    <n v="76700"/>
    <n v="-6500"/>
    <n v="8236966400"/>
    <n v="8732471410"/>
    <n v="99002"/>
    <n v="113852.29999999999"/>
    <n v="14850.299999999988"/>
  </r>
  <r>
    <x v="14"/>
    <n v="2024"/>
    <x v="2"/>
    <s v="Bajaj"/>
    <x v="0"/>
    <n v="102"/>
    <s v="&lt;=150"/>
    <x v="0"/>
    <n v="65000"/>
    <n v="0.28000000000000003"/>
    <n v="0.18"/>
    <n v="83200"/>
    <n v="76700"/>
    <n v="-6500"/>
    <n v="9579148800"/>
    <n v="10155394469.999998"/>
    <n v="115134"/>
    <n v="132404.09999999998"/>
    <n v="17270.099999999977"/>
  </r>
  <r>
    <x v="15"/>
    <n v="2024"/>
    <x v="3"/>
    <s v="Bajaj"/>
    <x v="0"/>
    <n v="102"/>
    <s v="&lt;=150"/>
    <x v="0"/>
    <n v="65000"/>
    <n v="0.28000000000000003"/>
    <n v="0.18"/>
    <n v="83200"/>
    <n v="76700"/>
    <n v="-6500"/>
    <n v="7755737600"/>
    <n v="8222293690"/>
    <n v="93218"/>
    <n v="107200.7"/>
    <n v="13982.699999999997"/>
  </r>
  <r>
    <x v="16"/>
    <n v="2024"/>
    <x v="4"/>
    <s v="Bajaj"/>
    <x v="0"/>
    <n v="102"/>
    <s v="&lt;=150"/>
    <x v="0"/>
    <n v="65000"/>
    <n v="0.28000000000000003"/>
    <n v="0.18"/>
    <n v="83200"/>
    <n v="76700"/>
    <n v="-6500"/>
    <n v="7751660800"/>
    <n v="8217971644.999999"/>
    <n v="93169"/>
    <n v="107144.34999999999"/>
    <n v="13975.349999999991"/>
  </r>
  <r>
    <x v="17"/>
    <n v="2024"/>
    <x v="5"/>
    <s v="Bajaj"/>
    <x v="0"/>
    <n v="102"/>
    <s v="&lt;=150"/>
    <x v="0"/>
    <n v="65000"/>
    <n v="0.28000000000000003"/>
    <n v="0.18"/>
    <n v="83200"/>
    <n v="76700"/>
    <n v="-6500"/>
    <n v="7648243200"/>
    <n v="8108332830"/>
    <n v="91926"/>
    <n v="105714.9"/>
    <n v="13788.899999999994"/>
  </r>
  <r>
    <x v="18"/>
    <n v="2024"/>
    <x v="6"/>
    <s v="Bajaj"/>
    <x v="0"/>
    <n v="102"/>
    <s v="&lt;=150"/>
    <x v="0"/>
    <n v="65000"/>
    <n v="0.28000000000000003"/>
    <n v="0.18"/>
    <n v="83200"/>
    <n v="76700"/>
    <n v="-6500"/>
    <n v="8553292800"/>
    <n v="9067826820"/>
    <n v="102804"/>
    <n v="118224.59999999999"/>
    <n v="15420.599999999991"/>
  </r>
  <r>
    <x v="19"/>
    <n v="2024"/>
    <x v="7"/>
    <s v="Bajaj"/>
    <x v="0"/>
    <n v="102"/>
    <s v="&lt;=150"/>
    <x v="0"/>
    <n v="65000"/>
    <n v="0.28000000000000003"/>
    <n v="0.18"/>
    <n v="83200"/>
    <n v="76700"/>
    <n v="-6500"/>
    <n v="7827123200"/>
    <n v="8297973580"/>
    <n v="94076"/>
    <n v="108187.4"/>
    <n v="14111.399999999994"/>
  </r>
  <r>
    <x v="20"/>
    <n v="2024"/>
    <x v="8"/>
    <s v="Bajaj"/>
    <x v="0"/>
    <n v="102"/>
    <s v="&lt;=150"/>
    <x v="0"/>
    <n v="65000"/>
    <n v="0.28000000000000003"/>
    <n v="0.18"/>
    <n v="83200"/>
    <n v="76700"/>
    <n v="-6500"/>
    <n v="6518553600"/>
    <n v="6910685340"/>
    <n v="78348"/>
    <n v="90100.2"/>
    <n v="11752.199999999997"/>
  </r>
  <r>
    <x v="21"/>
    <n v="2024"/>
    <x v="9"/>
    <s v="Bajaj"/>
    <x v="0"/>
    <n v="102"/>
    <s v="&lt;=150"/>
    <x v="0"/>
    <n v="65000"/>
    <n v="0.28000000000000003"/>
    <n v="0.18"/>
    <n v="83200"/>
    <n v="76700"/>
    <n v="-6500"/>
    <n v="5841888000"/>
    <n v="6193314075"/>
    <n v="70215"/>
    <n v="80747.25"/>
    <n v="10532.25"/>
  </r>
  <r>
    <x v="22"/>
    <n v="2024"/>
    <x v="10"/>
    <s v="Bajaj"/>
    <x v="0"/>
    <n v="102"/>
    <s v="&lt;=150"/>
    <x v="0"/>
    <n v="65000"/>
    <n v="0.28000000000000003"/>
    <n v="0.18"/>
    <n v="83200"/>
    <n v="76700"/>
    <n v="-6500"/>
    <n v="6781132800"/>
    <n v="7189060319.999999"/>
    <n v="81504"/>
    <n v="93729.599999999991"/>
    <n v="12225.599999999991"/>
  </r>
  <r>
    <x v="23"/>
    <n v="2024"/>
    <x v="11"/>
    <s v="Bajaj"/>
    <x v="0"/>
    <n v="102"/>
    <s v="&lt;=150"/>
    <x v="0"/>
    <n v="65000"/>
    <n v="0.28000000000000003"/>
    <n v="0.18"/>
    <n v="83200"/>
    <n v="76700"/>
    <n v="-6500"/>
    <n v="6816243200"/>
    <n v="7226282830"/>
    <n v="81926"/>
    <n v="94214.9"/>
    <n v="12288.899999999994"/>
  </r>
  <r>
    <x v="24"/>
    <n v="2025"/>
    <x v="0"/>
    <s v="Bajaj"/>
    <x v="0"/>
    <n v="102"/>
    <s v="&lt;=150"/>
    <x v="0"/>
    <n v="65000"/>
    <n v="0.28000000000000003"/>
    <n v="0.18"/>
    <n v="83200"/>
    <n v="76700"/>
    <n v="-6500"/>
    <n v="7825292800"/>
    <n v="8296033069.999999"/>
    <n v="94054"/>
    <n v="108162.09999999999"/>
    <n v="14108.099999999991"/>
  </r>
  <r>
    <x v="25"/>
    <n v="2025"/>
    <x v="1"/>
    <s v="Bajaj"/>
    <x v="0"/>
    <n v="102"/>
    <s v="&lt;=150"/>
    <x v="0"/>
    <n v="65000"/>
    <n v="0.28000000000000003"/>
    <n v="0.18"/>
    <n v="83200"/>
    <n v="76700"/>
    <n v="-6500"/>
    <n v="6717318400"/>
    <n v="7121407084.999999"/>
    <n v="80737"/>
    <n v="92847.549999999988"/>
    <n v="12110.549999999988"/>
  </r>
  <r>
    <x v="26"/>
    <n v="2025"/>
    <x v="2"/>
    <s v="Bajaj"/>
    <x v="0"/>
    <n v="102"/>
    <s v="&lt;=150"/>
    <x v="0"/>
    <n v="65000"/>
    <n v="0.28000000000000003"/>
    <n v="0.18"/>
    <n v="83200"/>
    <n v="76700"/>
    <n v="-6500"/>
    <n v="8848070400"/>
    <n v="9380337135"/>
    <n v="106347"/>
    <n v="122299.04999999999"/>
    <n v="15952.049999999988"/>
  </r>
  <r>
    <x v="27"/>
    <n v="2025"/>
    <x v="3"/>
    <s v="Bajaj"/>
    <x v="0"/>
    <n v="102"/>
    <s v="&lt;=150"/>
    <x v="0"/>
    <n v="65000"/>
    <n v="0.28000000000000003"/>
    <n v="0.18"/>
    <n v="83200"/>
    <n v="76700"/>
    <n v="-6500"/>
    <n v="8481158400"/>
    <n v="8991353085"/>
    <n v="101937"/>
    <n v="117227.54999999999"/>
    <n v="15290.549999999988"/>
  </r>
  <r>
    <x v="28"/>
    <n v="2025"/>
    <x v="4"/>
    <s v="Bajaj"/>
    <x v="0"/>
    <n v="102"/>
    <s v="&lt;=150"/>
    <x v="0"/>
    <n v="65000"/>
    <n v="0.28000000000000003"/>
    <n v="0.18"/>
    <n v="83200"/>
    <n v="76700"/>
    <n v="-6500"/>
    <n v="7025241600"/>
    <n v="7447853790"/>
    <n v="84438"/>
    <n v="97103.7"/>
    <n v="12665.699999999997"/>
  </r>
  <r>
    <x v="29"/>
    <n v="2025"/>
    <x v="5"/>
    <s v="Bajaj"/>
    <x v="0"/>
    <n v="102"/>
    <s v="&lt;=150"/>
    <x v="0"/>
    <n v="65000"/>
    <n v="0.28000000000000003"/>
    <n v="0.18"/>
    <n v="83200"/>
    <n v="76700"/>
    <n v="-6500"/>
    <n v="7734022400"/>
    <n v="8199272184.999999"/>
    <n v="92957"/>
    <n v="106900.54999999999"/>
    <n v="13943.549999999988"/>
  </r>
  <r>
    <x v="30"/>
    <n v="2025"/>
    <x v="6"/>
    <s v="Bajaj"/>
    <x v="0"/>
    <n v="102"/>
    <s v="&lt;=150"/>
    <x v="0"/>
    <n v="65000"/>
    <n v="0.28000000000000003"/>
    <n v="0.18"/>
    <n v="83200"/>
    <n v="76700"/>
    <n v="-6500"/>
    <n v="6793529600"/>
    <n v="7202202865"/>
    <n v="81653"/>
    <n v="93900.95"/>
    <n v="12247.949999999997"/>
  </r>
  <r>
    <x v="31"/>
    <n v="2025"/>
    <x v="7"/>
    <s v="Bajaj"/>
    <x v="0"/>
    <n v="102"/>
    <s v="&lt;=150"/>
    <x v="0"/>
    <n v="65000"/>
    <n v="0.28000000000000003"/>
    <n v="0.18"/>
    <n v="83200"/>
    <n v="76700"/>
    <n v="-6500"/>
    <n v="5748038400"/>
    <n v="6093818834.999999"/>
    <n v="69087"/>
    <n v="79450.049999999988"/>
    <n v="10363.049999999988"/>
  </r>
  <r>
    <x v="32"/>
    <n v="2025"/>
    <x v="8"/>
    <s v="Bajaj"/>
    <x v="0"/>
    <n v="102"/>
    <s v="&lt;=150"/>
    <x v="0"/>
    <n v="65000"/>
    <n v="0.28000000000000003"/>
    <n v="0.18"/>
    <n v="83200"/>
    <n v="76700"/>
    <n v="-6500"/>
    <n v="5846880000"/>
    <n v="6198606375"/>
    <n v="70275"/>
    <n v="80816.25"/>
    <n v="10541.25"/>
  </r>
  <r>
    <x v="0"/>
    <n v="2023"/>
    <x v="0"/>
    <s v="Bajaj"/>
    <x v="1"/>
    <n v="115"/>
    <s v="&lt;=150"/>
    <x v="0"/>
    <n v="72000"/>
    <n v="0.28000000000000003"/>
    <n v="0.18"/>
    <n v="92160"/>
    <n v="84960"/>
    <n v="-7200"/>
    <n v="6893107200"/>
    <n v="7307770680"/>
    <n v="74795"/>
    <n v="86014.25"/>
    <n v="11219.25"/>
  </r>
  <r>
    <x v="1"/>
    <n v="2023"/>
    <x v="1"/>
    <s v="Bajaj"/>
    <x v="1"/>
    <n v="115"/>
    <s v="&lt;=150"/>
    <x v="0"/>
    <n v="72000"/>
    <n v="0.28000000000000003"/>
    <n v="0.18"/>
    <n v="92160"/>
    <n v="84960"/>
    <n v="-7200"/>
    <n v="7084431360"/>
    <n v="7510604183.999999"/>
    <n v="76871"/>
    <n v="88401.65"/>
    <n v="11530.649999999994"/>
  </r>
  <r>
    <x v="2"/>
    <n v="2023"/>
    <x v="2"/>
    <s v="Bajaj"/>
    <x v="1"/>
    <n v="115"/>
    <s v="&lt;=150"/>
    <x v="0"/>
    <n v="72000"/>
    <n v="0.28000000000000003"/>
    <n v="0.18"/>
    <n v="92160"/>
    <n v="84960"/>
    <n v="-7200"/>
    <n v="6517923840"/>
    <n v="6910017695.999999"/>
    <n v="70724"/>
    <n v="81332.599999999991"/>
    <n v="10608.599999999991"/>
  </r>
  <r>
    <x v="3"/>
    <n v="2023"/>
    <x v="3"/>
    <s v="Bajaj"/>
    <x v="1"/>
    <n v="115"/>
    <s v="&lt;=150"/>
    <x v="0"/>
    <n v="72000"/>
    <n v="0.28000000000000003"/>
    <n v="0.18"/>
    <n v="92160"/>
    <n v="84960"/>
    <n v="-7200"/>
    <n v="7359528960"/>
    <n v="7802250623.999999"/>
    <n v="79856"/>
    <n v="91834.4"/>
    <n v="11978.399999999994"/>
  </r>
  <r>
    <x v="4"/>
    <n v="2023"/>
    <x v="4"/>
    <s v="Bajaj"/>
    <x v="1"/>
    <n v="115"/>
    <s v="&lt;=150"/>
    <x v="0"/>
    <n v="72000"/>
    <n v="0.28000000000000003"/>
    <n v="0.18"/>
    <n v="92160"/>
    <n v="84960"/>
    <n v="-7200"/>
    <n v="6590822400"/>
    <n v="6987301560"/>
    <n v="71515"/>
    <n v="82242.25"/>
    <n v="10727.25"/>
  </r>
  <r>
    <x v="5"/>
    <n v="2023"/>
    <x v="5"/>
    <s v="Bajaj"/>
    <x v="1"/>
    <n v="115"/>
    <s v="&lt;=150"/>
    <x v="0"/>
    <n v="72000"/>
    <n v="0.28000000000000003"/>
    <n v="0.18"/>
    <n v="92160"/>
    <n v="84960"/>
    <n v="-7200"/>
    <n v="6251304960"/>
    <n v="6627360023.999999"/>
    <n v="67831"/>
    <n v="78005.649999999994"/>
    <n v="10174.649999999994"/>
  </r>
  <r>
    <x v="6"/>
    <n v="2023"/>
    <x v="6"/>
    <s v="Bajaj"/>
    <x v="1"/>
    <n v="115"/>
    <s v="&lt;=150"/>
    <x v="0"/>
    <n v="72000"/>
    <n v="0.28000000000000003"/>
    <n v="0.18"/>
    <n v="92160"/>
    <n v="84960"/>
    <n v="-7200"/>
    <n v="6445117440"/>
    <n v="6832831535.999999"/>
    <n v="69934"/>
    <n v="80424.099999999991"/>
    <n v="10490.099999999991"/>
  </r>
  <r>
    <x v="7"/>
    <n v="2023"/>
    <x v="7"/>
    <s v="Bajaj"/>
    <x v="1"/>
    <n v="115"/>
    <s v="&lt;=150"/>
    <x v="0"/>
    <n v="72000"/>
    <n v="0.28000000000000003"/>
    <n v="0.18"/>
    <n v="92160"/>
    <n v="84960"/>
    <n v="-7200"/>
    <n v="4957378560"/>
    <n v="5255595863.999999"/>
    <n v="53791"/>
    <n v="61859.649999999994"/>
    <n v="8068.6499999999942"/>
  </r>
  <r>
    <x v="8"/>
    <n v="2023"/>
    <x v="8"/>
    <s v="Bajaj"/>
    <x v="1"/>
    <n v="115"/>
    <s v="&lt;=150"/>
    <x v="0"/>
    <n v="72000"/>
    <n v="0.28000000000000003"/>
    <n v="0.18"/>
    <n v="92160"/>
    <n v="84960"/>
    <n v="-7200"/>
    <n v="5894553600"/>
    <n v="6249147840"/>
    <n v="63960"/>
    <n v="73554"/>
    <n v="9594"/>
  </r>
  <r>
    <x v="9"/>
    <n v="2023"/>
    <x v="9"/>
    <s v="Bajaj"/>
    <x v="1"/>
    <n v="115"/>
    <s v="&lt;=150"/>
    <x v="0"/>
    <n v="72000"/>
    <n v="0.28000000000000003"/>
    <n v="0.18"/>
    <n v="92160"/>
    <n v="84960"/>
    <n v="-7200"/>
    <n v="6192599040"/>
    <n v="6565122575.999999"/>
    <n v="67194"/>
    <n v="77273.099999999991"/>
    <n v="10079.099999999991"/>
  </r>
  <r>
    <x v="10"/>
    <n v="2023"/>
    <x v="10"/>
    <s v="Bajaj"/>
    <x v="1"/>
    <n v="115"/>
    <s v="&lt;=150"/>
    <x v="0"/>
    <n v="72000"/>
    <n v="0.28000000000000003"/>
    <n v="0.18"/>
    <n v="92160"/>
    <n v="84960"/>
    <n v="-7200"/>
    <n v="5671065600"/>
    <n v="6012215640"/>
    <n v="61535"/>
    <n v="70765.25"/>
    <n v="9230.25"/>
  </r>
  <r>
    <x v="11"/>
    <n v="2023"/>
    <x v="11"/>
    <s v="Bajaj"/>
    <x v="1"/>
    <n v="115"/>
    <s v="&lt;=150"/>
    <x v="0"/>
    <n v="72000"/>
    <n v="0.28000000000000003"/>
    <n v="0.18"/>
    <n v="92160"/>
    <n v="84960"/>
    <n v="-7200"/>
    <n v="6118225920"/>
    <n v="6486275447.999999"/>
    <n v="66387"/>
    <n v="76345.049999999988"/>
    <n v="9958.0499999999884"/>
  </r>
  <r>
    <x v="12"/>
    <n v="2024"/>
    <x v="0"/>
    <s v="Bajaj"/>
    <x v="1"/>
    <n v="115"/>
    <s v="&lt;=150"/>
    <x v="0"/>
    <n v="72000"/>
    <n v="0.28000000000000003"/>
    <n v="0.18"/>
    <n v="92160"/>
    <n v="84960"/>
    <n v="-7200"/>
    <n v="6215546880"/>
    <n v="6589450872"/>
    <n v="67443"/>
    <n v="77559.45"/>
    <n v="10116.449999999997"/>
  </r>
  <r>
    <x v="13"/>
    <n v="2024"/>
    <x v="1"/>
    <s v="Bajaj"/>
    <x v="1"/>
    <n v="115"/>
    <s v="&lt;=150"/>
    <x v="0"/>
    <n v="72000"/>
    <n v="0.28000000000000003"/>
    <n v="0.18"/>
    <n v="92160"/>
    <n v="84960"/>
    <n v="-7200"/>
    <n v="6586398720"/>
    <n v="6982611767.999999"/>
    <n v="71467"/>
    <n v="82187.049999999988"/>
    <n v="10720.049999999988"/>
  </r>
  <r>
    <x v="14"/>
    <n v="2024"/>
    <x v="2"/>
    <s v="Bajaj"/>
    <x v="1"/>
    <n v="115"/>
    <s v="&lt;=150"/>
    <x v="0"/>
    <n v="72000"/>
    <n v="0.28000000000000003"/>
    <n v="0.18"/>
    <n v="92160"/>
    <n v="84960"/>
    <n v="-7200"/>
    <n v="8468213760"/>
    <n v="8977629744"/>
    <n v="91886"/>
    <n v="105668.9"/>
    <n v="13782.899999999994"/>
  </r>
  <r>
    <x v="15"/>
    <n v="2024"/>
    <x v="3"/>
    <s v="Bajaj"/>
    <x v="1"/>
    <n v="115"/>
    <s v="&lt;=150"/>
    <x v="0"/>
    <n v="72000"/>
    <n v="0.28000000000000003"/>
    <n v="0.18"/>
    <n v="92160"/>
    <n v="84960"/>
    <n v="-7200"/>
    <n v="7705958400"/>
    <n v="8169519959.999999"/>
    <n v="83615"/>
    <n v="96157.249999999985"/>
    <n v="12542.249999999985"/>
  </r>
  <r>
    <x v="16"/>
    <n v="2024"/>
    <x v="4"/>
    <s v="Bajaj"/>
    <x v="1"/>
    <n v="115"/>
    <s v="&lt;=150"/>
    <x v="0"/>
    <n v="72000"/>
    <n v="0.28000000000000003"/>
    <n v="0.18"/>
    <n v="92160"/>
    <n v="84960"/>
    <n v="-7200"/>
    <n v="7058442240"/>
    <n v="7483051655.999999"/>
    <n v="76589"/>
    <n v="88077.349999999991"/>
    <n v="11488.349999999991"/>
  </r>
  <r>
    <x v="17"/>
    <n v="2024"/>
    <x v="5"/>
    <s v="Bajaj"/>
    <x v="1"/>
    <n v="115"/>
    <s v="&lt;=150"/>
    <x v="0"/>
    <n v="72000"/>
    <n v="0.28000000000000003"/>
    <n v="0.18"/>
    <n v="92160"/>
    <n v="84960"/>
    <n v="-7200"/>
    <n v="6480875520"/>
    <n v="6870740687.999999"/>
    <n v="70322"/>
    <n v="80870.299999999988"/>
    <n v="10548.299999999988"/>
  </r>
  <r>
    <x v="18"/>
    <n v="2024"/>
    <x v="6"/>
    <s v="Bajaj"/>
    <x v="1"/>
    <n v="115"/>
    <s v="&lt;=150"/>
    <x v="0"/>
    <n v="72000"/>
    <n v="0.28000000000000003"/>
    <n v="0.18"/>
    <n v="92160"/>
    <n v="84960"/>
    <n v="-7200"/>
    <n v="5120225280"/>
    <n v="5428238832"/>
    <n v="55558"/>
    <n v="63891.7"/>
    <n v="8333.6999999999971"/>
  </r>
  <r>
    <x v="19"/>
    <n v="2024"/>
    <x v="7"/>
    <s v="Bajaj"/>
    <x v="1"/>
    <n v="115"/>
    <s v="&lt;=150"/>
    <x v="0"/>
    <n v="72000"/>
    <n v="0.28000000000000003"/>
    <n v="0.18"/>
    <n v="92160"/>
    <n v="84960"/>
    <n v="-7200"/>
    <n v="5839810560"/>
    <n v="6191111663.999999"/>
    <n v="63366"/>
    <n v="72870.899999999994"/>
    <n v="9504.8999999999942"/>
  </r>
  <r>
    <x v="20"/>
    <n v="2024"/>
    <x v="8"/>
    <s v="Bajaj"/>
    <x v="1"/>
    <n v="115"/>
    <s v="&lt;=150"/>
    <x v="0"/>
    <n v="72000"/>
    <n v="0.28000000000000003"/>
    <n v="0.18"/>
    <n v="92160"/>
    <n v="84960"/>
    <n v="-7200"/>
    <n v="6280519680"/>
    <n v="6658332192"/>
    <n v="68148"/>
    <n v="78370.2"/>
    <n v="10222.199999999997"/>
  </r>
  <r>
    <x v="21"/>
    <n v="2024"/>
    <x v="9"/>
    <s v="Bajaj"/>
    <x v="1"/>
    <n v="115"/>
    <s v="&lt;=150"/>
    <x v="0"/>
    <n v="72000"/>
    <n v="0.28000000000000003"/>
    <n v="0.18"/>
    <n v="92160"/>
    <n v="84960"/>
    <n v="-7200"/>
    <n v="5248051200"/>
    <n v="5563754279.999999"/>
    <n v="56945"/>
    <n v="65486.749999999993"/>
    <n v="8541.7499999999927"/>
  </r>
  <r>
    <x v="22"/>
    <n v="2024"/>
    <x v="10"/>
    <s v="Bajaj"/>
    <x v="1"/>
    <n v="115"/>
    <s v="&lt;=150"/>
    <x v="0"/>
    <n v="72000"/>
    <n v="0.28000000000000003"/>
    <n v="0.18"/>
    <n v="92160"/>
    <n v="84960"/>
    <n v="-7200"/>
    <n v="5563699200"/>
    <n v="5898390480"/>
    <n v="60370"/>
    <n v="69425.5"/>
    <n v="9055.5"/>
  </r>
  <r>
    <x v="23"/>
    <n v="2024"/>
    <x v="11"/>
    <s v="Bajaj"/>
    <x v="1"/>
    <n v="115"/>
    <s v="&lt;=150"/>
    <x v="0"/>
    <n v="72000"/>
    <n v="0.28000000000000003"/>
    <n v="0.18"/>
    <n v="92160"/>
    <n v="84960"/>
    <n v="-7200"/>
    <n v="7030425600"/>
    <n v="7453349640"/>
    <n v="76285"/>
    <n v="87727.75"/>
    <n v="11442.75"/>
  </r>
  <r>
    <x v="24"/>
    <n v="2025"/>
    <x v="0"/>
    <s v="Bajaj"/>
    <x v="1"/>
    <n v="115"/>
    <s v="&lt;=150"/>
    <x v="0"/>
    <n v="72000"/>
    <n v="0.28000000000000003"/>
    <n v="0.18"/>
    <n v="92160"/>
    <n v="84960"/>
    <n v="-7200"/>
    <n v="6886748160"/>
    <n v="7301029103.999999"/>
    <n v="74726"/>
    <n v="85934.9"/>
    <n v="11208.899999999994"/>
  </r>
  <r>
    <x v="25"/>
    <n v="2025"/>
    <x v="1"/>
    <s v="Bajaj"/>
    <x v="1"/>
    <n v="115"/>
    <s v="&lt;=150"/>
    <x v="0"/>
    <n v="72000"/>
    <n v="0.28000000000000003"/>
    <n v="0.18"/>
    <n v="92160"/>
    <n v="84960"/>
    <n v="-7200"/>
    <n v="7471411200"/>
    <n v="7920863280"/>
    <n v="81070"/>
    <n v="93230.5"/>
    <n v="12160.5"/>
  </r>
  <r>
    <x v="26"/>
    <n v="2025"/>
    <x v="2"/>
    <s v="Bajaj"/>
    <x v="1"/>
    <n v="115"/>
    <s v="&lt;=150"/>
    <x v="0"/>
    <n v="72000"/>
    <n v="0.28000000000000003"/>
    <n v="0.18"/>
    <n v="92160"/>
    <n v="84960"/>
    <n v="-7200"/>
    <n v="6730260480"/>
    <n v="7135127712"/>
    <n v="73028"/>
    <n v="83982.2"/>
    <n v="10954.199999999997"/>
  </r>
  <r>
    <x v="27"/>
    <n v="2025"/>
    <x v="3"/>
    <s v="Bajaj"/>
    <x v="1"/>
    <n v="115"/>
    <s v="&lt;=150"/>
    <x v="0"/>
    <n v="72000"/>
    <n v="0.28000000000000003"/>
    <n v="0.18"/>
    <n v="92160"/>
    <n v="84960"/>
    <n v="-7200"/>
    <n v="7961057280"/>
    <n v="8439964632"/>
    <n v="86383"/>
    <n v="99340.45"/>
    <n v="12957.449999999997"/>
  </r>
  <r>
    <x v="28"/>
    <n v="2025"/>
    <x v="4"/>
    <s v="Bajaj"/>
    <x v="1"/>
    <n v="115"/>
    <s v="&lt;=150"/>
    <x v="0"/>
    <n v="72000"/>
    <n v="0.28000000000000003"/>
    <n v="0.18"/>
    <n v="92160"/>
    <n v="84960"/>
    <n v="-7200"/>
    <n v="7591403520"/>
    <n v="8048073887.999999"/>
    <n v="82372"/>
    <n v="94727.799999999988"/>
    <n v="12355.799999999988"/>
  </r>
  <r>
    <x v="29"/>
    <n v="2025"/>
    <x v="5"/>
    <s v="Bajaj"/>
    <x v="1"/>
    <n v="115"/>
    <s v="&lt;=150"/>
    <x v="0"/>
    <n v="72000"/>
    <n v="0.28000000000000003"/>
    <n v="0.18"/>
    <n v="92160"/>
    <n v="84960"/>
    <n v="-7200"/>
    <n v="7580252160"/>
    <n v="8036251703.999999"/>
    <n v="82251"/>
    <n v="94588.65"/>
    <n v="12337.649999999994"/>
  </r>
  <r>
    <x v="30"/>
    <n v="2025"/>
    <x v="6"/>
    <s v="Bajaj"/>
    <x v="1"/>
    <n v="115"/>
    <s v="&lt;=150"/>
    <x v="0"/>
    <n v="72000"/>
    <n v="0.28000000000000003"/>
    <n v="0.18"/>
    <n v="92160"/>
    <n v="84960"/>
    <n v="-7200"/>
    <n v="6654965760"/>
    <n v="7055303543.999999"/>
    <n v="72211"/>
    <n v="83042.649999999994"/>
    <n v="10831.649999999994"/>
  </r>
  <r>
    <x v="31"/>
    <n v="2025"/>
    <x v="7"/>
    <s v="Bajaj"/>
    <x v="1"/>
    <n v="115"/>
    <s v="&lt;=150"/>
    <x v="0"/>
    <n v="72000"/>
    <n v="0.28000000000000003"/>
    <n v="0.18"/>
    <n v="92160"/>
    <n v="84960"/>
    <n v="-7200"/>
    <n v="5654476800"/>
    <n v="5994628920"/>
    <n v="61355"/>
    <n v="70558.25"/>
    <n v="9203.25"/>
  </r>
  <r>
    <x v="32"/>
    <n v="2025"/>
    <x v="8"/>
    <s v="Bajaj"/>
    <x v="1"/>
    <n v="115"/>
    <s v="&lt;=150"/>
    <x v="0"/>
    <n v="72000"/>
    <n v="0.28000000000000003"/>
    <n v="0.18"/>
    <n v="92160"/>
    <n v="84960"/>
    <n v="-7200"/>
    <n v="4771399680"/>
    <n v="5058429192"/>
    <n v="51773"/>
    <n v="59538.95"/>
    <n v="7765.9499999999971"/>
  </r>
  <r>
    <x v="0"/>
    <n v="2023"/>
    <x v="0"/>
    <s v="Bajaj"/>
    <x v="2"/>
    <n v="115"/>
    <s v="&lt;=150"/>
    <x v="0"/>
    <n v="68000"/>
    <n v="0.28000000000000003"/>
    <n v="0.18"/>
    <n v="87040"/>
    <n v="80240"/>
    <n v="-6800"/>
    <n v="5512243200"/>
    <n v="5843839080"/>
    <n v="63330"/>
    <n v="72829.5"/>
    <n v="9499.5"/>
  </r>
  <r>
    <x v="1"/>
    <n v="2023"/>
    <x v="1"/>
    <s v="Bajaj"/>
    <x v="2"/>
    <n v="115"/>
    <s v="&lt;=150"/>
    <x v="0"/>
    <n v="68000"/>
    <n v="0.28000000000000003"/>
    <n v="0.18"/>
    <n v="87040"/>
    <n v="80240"/>
    <n v="-6800"/>
    <n v="6390302720"/>
    <n v="6774719368"/>
    <n v="73418"/>
    <n v="84430.7"/>
    <n v="11012.699999999997"/>
  </r>
  <r>
    <x v="2"/>
    <n v="2023"/>
    <x v="2"/>
    <s v="Bajaj"/>
    <x v="2"/>
    <n v="115"/>
    <s v="&lt;=150"/>
    <x v="0"/>
    <n v="68000"/>
    <n v="0.28000000000000003"/>
    <n v="0.18"/>
    <n v="87040"/>
    <n v="80240"/>
    <n v="-6800"/>
    <n v="5891650560"/>
    <n v="6246070163.999999"/>
    <n v="67689"/>
    <n v="77842.349999999991"/>
    <n v="10153.349999999991"/>
  </r>
  <r>
    <x v="3"/>
    <n v="2023"/>
    <x v="3"/>
    <s v="Bajaj"/>
    <x v="2"/>
    <n v="115"/>
    <s v="&lt;=150"/>
    <x v="0"/>
    <n v="68000"/>
    <n v="0.28000000000000003"/>
    <n v="0.18"/>
    <n v="87040"/>
    <n v="80240"/>
    <n v="-6800"/>
    <n v="5169131520"/>
    <n v="5480087088"/>
    <n v="59388"/>
    <n v="68296.2"/>
    <n v="8908.1999999999971"/>
  </r>
  <r>
    <x v="4"/>
    <n v="2023"/>
    <x v="4"/>
    <s v="Bajaj"/>
    <x v="2"/>
    <n v="115"/>
    <s v="&lt;=150"/>
    <x v="0"/>
    <n v="68000"/>
    <n v="0.28000000000000003"/>
    <n v="0.18"/>
    <n v="87040"/>
    <n v="80240"/>
    <n v="-6800"/>
    <n v="5717135360"/>
    <n v="6061056783.999999"/>
    <n v="65684"/>
    <n v="75536.599999999991"/>
    <n v="9852.5999999999913"/>
  </r>
  <r>
    <x v="5"/>
    <n v="2023"/>
    <x v="5"/>
    <s v="Bajaj"/>
    <x v="2"/>
    <n v="115"/>
    <s v="&lt;=150"/>
    <x v="0"/>
    <n v="68000"/>
    <n v="0.28000000000000003"/>
    <n v="0.18"/>
    <n v="87040"/>
    <n v="80240"/>
    <n v="-6800"/>
    <n v="5776148480"/>
    <n v="6123619911.999999"/>
    <n v="66362"/>
    <n v="76316.299999999988"/>
    <n v="9954.2999999999884"/>
  </r>
  <r>
    <x v="6"/>
    <n v="2023"/>
    <x v="6"/>
    <s v="Bajaj"/>
    <x v="2"/>
    <n v="115"/>
    <s v="&lt;=150"/>
    <x v="0"/>
    <n v="68000"/>
    <n v="0.28000000000000003"/>
    <n v="0.18"/>
    <n v="87040"/>
    <n v="80240"/>
    <n v="-6800"/>
    <n v="4799385600"/>
    <n v="5088098639.999999"/>
    <n v="55140"/>
    <n v="63410.999999999993"/>
    <n v="8270.9999999999927"/>
  </r>
  <r>
    <x v="7"/>
    <n v="2023"/>
    <x v="7"/>
    <s v="Bajaj"/>
    <x v="2"/>
    <n v="115"/>
    <s v="&lt;=150"/>
    <x v="0"/>
    <n v="68000"/>
    <n v="0.28000000000000003"/>
    <n v="0.18"/>
    <n v="87040"/>
    <n v="80240"/>
    <n v="-6800"/>
    <n v="3994091520"/>
    <n v="4234361088"/>
    <n v="45888"/>
    <n v="52771.199999999997"/>
    <n v="6883.1999999999971"/>
  </r>
  <r>
    <x v="8"/>
    <n v="2023"/>
    <x v="8"/>
    <s v="Bajaj"/>
    <x v="2"/>
    <n v="115"/>
    <s v="&lt;=150"/>
    <x v="0"/>
    <n v="68000"/>
    <n v="0.28000000000000003"/>
    <n v="0.18"/>
    <n v="87040"/>
    <n v="80240"/>
    <n v="-6800"/>
    <n v="5309614080"/>
    <n v="5629020551.999999"/>
    <n v="61002"/>
    <n v="70152.299999999988"/>
    <n v="9150.2999999999884"/>
  </r>
  <r>
    <x v="9"/>
    <n v="2023"/>
    <x v="9"/>
    <s v="Bajaj"/>
    <x v="2"/>
    <n v="115"/>
    <s v="&lt;=150"/>
    <x v="0"/>
    <n v="68000"/>
    <n v="0.28000000000000003"/>
    <n v="0.18"/>
    <n v="87040"/>
    <n v="80240"/>
    <n v="-6800"/>
    <n v="4881551360"/>
    <n v="5175207184"/>
    <n v="56084"/>
    <n v="64496.6"/>
    <n v="8412.5999999999985"/>
  </r>
  <r>
    <x v="10"/>
    <n v="2023"/>
    <x v="10"/>
    <s v="Bajaj"/>
    <x v="2"/>
    <n v="115"/>
    <s v="&lt;=150"/>
    <x v="0"/>
    <n v="68000"/>
    <n v="0.28000000000000003"/>
    <n v="0.18"/>
    <n v="87040"/>
    <n v="80240"/>
    <n v="-6800"/>
    <n v="4680750080"/>
    <n v="4962326452"/>
    <n v="53777"/>
    <n v="61843.549999999996"/>
    <n v="8066.5499999999956"/>
  </r>
  <r>
    <x v="11"/>
    <n v="2023"/>
    <x v="11"/>
    <s v="Bajaj"/>
    <x v="2"/>
    <n v="115"/>
    <s v="&lt;=150"/>
    <x v="0"/>
    <n v="68000"/>
    <n v="0.28000000000000003"/>
    <n v="0.18"/>
    <n v="87040"/>
    <n v="80240"/>
    <n v="-6800"/>
    <n v="5654553600"/>
    <n v="5994710340"/>
    <n v="64965"/>
    <n v="74709.75"/>
    <n v="9744.75"/>
  </r>
  <r>
    <x v="12"/>
    <n v="2024"/>
    <x v="0"/>
    <s v="Bajaj"/>
    <x v="2"/>
    <n v="115"/>
    <s v="&lt;=150"/>
    <x v="0"/>
    <n v="68000"/>
    <n v="0.28000000000000003"/>
    <n v="0.18"/>
    <n v="87040"/>
    <n v="80240"/>
    <n v="-6800"/>
    <n v="5878768640"/>
    <n v="6232413316"/>
    <n v="67541"/>
    <n v="77672.149999999994"/>
    <n v="10131.149999999994"/>
  </r>
  <r>
    <x v="13"/>
    <n v="2024"/>
    <x v="1"/>
    <s v="Bajaj"/>
    <x v="2"/>
    <n v="115"/>
    <s v="&lt;=150"/>
    <x v="0"/>
    <n v="68000"/>
    <n v="0.28000000000000003"/>
    <n v="0.18"/>
    <n v="87040"/>
    <n v="80240"/>
    <n v="-6800"/>
    <n v="6320583680"/>
    <n v="6700806291.999999"/>
    <n v="72617"/>
    <n v="83509.549999999988"/>
    <n v="10892.549999999988"/>
  </r>
  <r>
    <x v="14"/>
    <n v="2024"/>
    <x v="2"/>
    <s v="Bajaj"/>
    <x v="2"/>
    <n v="115"/>
    <s v="&lt;=150"/>
    <x v="0"/>
    <n v="68000"/>
    <n v="0.28000000000000003"/>
    <n v="0.18"/>
    <n v="87040"/>
    <n v="80240"/>
    <n v="-6800"/>
    <n v="5770752000"/>
    <n v="6117898800"/>
    <n v="66300"/>
    <n v="76245"/>
    <n v="9945"/>
  </r>
  <r>
    <x v="15"/>
    <n v="2024"/>
    <x v="3"/>
    <s v="Bajaj"/>
    <x v="2"/>
    <n v="115"/>
    <s v="&lt;=150"/>
    <x v="0"/>
    <n v="68000"/>
    <n v="0.28000000000000003"/>
    <n v="0.18"/>
    <n v="87040"/>
    <n v="80240"/>
    <n v="-6800"/>
    <n v="5407969280"/>
    <n v="5733292431.999999"/>
    <n v="62132"/>
    <n v="71451.799999999988"/>
    <n v="9319.7999999999884"/>
  </r>
  <r>
    <x v="16"/>
    <n v="2024"/>
    <x v="4"/>
    <s v="Bajaj"/>
    <x v="2"/>
    <n v="115"/>
    <s v="&lt;=150"/>
    <x v="0"/>
    <n v="68000"/>
    <n v="0.28000000000000003"/>
    <n v="0.18"/>
    <n v="87040"/>
    <n v="80240"/>
    <n v="-6800"/>
    <n v="4905487360"/>
    <n v="5200583084"/>
    <n v="56359"/>
    <n v="64812.85"/>
    <n v="8453.8499999999985"/>
  </r>
  <r>
    <x v="17"/>
    <n v="2024"/>
    <x v="5"/>
    <s v="Bajaj"/>
    <x v="2"/>
    <n v="115"/>
    <s v="&lt;=150"/>
    <x v="0"/>
    <n v="68000"/>
    <n v="0.28000000000000003"/>
    <n v="0.18"/>
    <n v="87040"/>
    <n v="80240"/>
    <n v="-6800"/>
    <n v="4520074240"/>
    <n v="4791984956"/>
    <n v="51931"/>
    <n v="59720.649999999994"/>
    <n v="7789.6499999999942"/>
  </r>
  <r>
    <x v="18"/>
    <n v="2024"/>
    <x v="6"/>
    <s v="Bajaj"/>
    <x v="2"/>
    <n v="115"/>
    <s v="&lt;=150"/>
    <x v="0"/>
    <n v="68000"/>
    <n v="0.28000000000000003"/>
    <n v="0.18"/>
    <n v="87040"/>
    <n v="80240"/>
    <n v="-6800"/>
    <n v="4762045440"/>
    <n v="5048512236"/>
    <n v="54711"/>
    <n v="62917.649999999994"/>
    <n v="8206.6499999999942"/>
  </r>
  <r>
    <x v="19"/>
    <n v="2024"/>
    <x v="7"/>
    <s v="Bajaj"/>
    <x v="2"/>
    <n v="115"/>
    <s v="&lt;=150"/>
    <x v="0"/>
    <n v="68000"/>
    <n v="0.28000000000000003"/>
    <n v="0.18"/>
    <n v="87040"/>
    <n v="80240"/>
    <n v="-6800"/>
    <n v="4304128000"/>
    <n v="4563048199.999999"/>
    <n v="49450"/>
    <n v="56867.499999999993"/>
    <n v="7417.4999999999927"/>
  </r>
  <r>
    <x v="20"/>
    <n v="2024"/>
    <x v="8"/>
    <s v="Bajaj"/>
    <x v="2"/>
    <n v="115"/>
    <s v="&lt;=150"/>
    <x v="0"/>
    <n v="68000"/>
    <n v="0.28000000000000003"/>
    <n v="0.18"/>
    <n v="87040"/>
    <n v="80240"/>
    <n v="-6800"/>
    <n v="5124392960"/>
    <n v="5432657223.999999"/>
    <n v="58874"/>
    <n v="67705.099999999991"/>
    <n v="8831.0999999999913"/>
  </r>
  <r>
    <x v="21"/>
    <n v="2024"/>
    <x v="9"/>
    <s v="Bajaj"/>
    <x v="2"/>
    <n v="115"/>
    <s v="&lt;=150"/>
    <x v="0"/>
    <n v="68000"/>
    <n v="0.28000000000000003"/>
    <n v="0.18"/>
    <n v="87040"/>
    <n v="80240"/>
    <n v="-6800"/>
    <n v="4665692160"/>
    <n v="4946362704"/>
    <n v="53604"/>
    <n v="61644.6"/>
    <n v="8040.5999999999985"/>
  </r>
  <r>
    <x v="22"/>
    <n v="2024"/>
    <x v="10"/>
    <s v="Bajaj"/>
    <x v="2"/>
    <n v="115"/>
    <s v="&lt;=150"/>
    <x v="0"/>
    <n v="68000"/>
    <n v="0.28000000000000003"/>
    <n v="0.18"/>
    <n v="87040"/>
    <n v="80240"/>
    <n v="-6800"/>
    <n v="4958668800"/>
    <n v="5256963719.999999"/>
    <n v="56970"/>
    <n v="65515.499999999993"/>
    <n v="8545.4999999999927"/>
  </r>
  <r>
    <x v="23"/>
    <n v="2024"/>
    <x v="11"/>
    <s v="Bajaj"/>
    <x v="2"/>
    <n v="115"/>
    <s v="&lt;=150"/>
    <x v="0"/>
    <n v="68000"/>
    <n v="0.28000000000000003"/>
    <n v="0.18"/>
    <n v="87040"/>
    <n v="80240"/>
    <n v="-6800"/>
    <n v="4933601280"/>
    <n v="5230388232"/>
    <n v="56682"/>
    <n v="65184.299999999996"/>
    <n v="8502.2999999999956"/>
  </r>
  <r>
    <x v="24"/>
    <n v="2025"/>
    <x v="0"/>
    <s v="Bajaj"/>
    <x v="2"/>
    <n v="115"/>
    <s v="&lt;=150"/>
    <x v="0"/>
    <n v="68000"/>
    <n v="0.28000000000000003"/>
    <n v="0.18"/>
    <n v="87040"/>
    <n v="80240"/>
    <n v="-6800"/>
    <n v="5932559360"/>
    <n v="6289439883.999999"/>
    <n v="68159"/>
    <n v="78382.849999999991"/>
    <n v="10223.849999999991"/>
  </r>
  <r>
    <x v="25"/>
    <n v="2025"/>
    <x v="1"/>
    <s v="Bajaj"/>
    <x v="2"/>
    <n v="115"/>
    <s v="&lt;=150"/>
    <x v="0"/>
    <n v="68000"/>
    <n v="0.28000000000000003"/>
    <n v="0.18"/>
    <n v="87040"/>
    <n v="80240"/>
    <n v="-6800"/>
    <n v="5436779520"/>
    <n v="5763835788"/>
    <n v="62463"/>
    <n v="71832.45"/>
    <n v="9369.4499999999971"/>
  </r>
  <r>
    <x v="26"/>
    <n v="2025"/>
    <x v="2"/>
    <s v="Bajaj"/>
    <x v="2"/>
    <n v="115"/>
    <s v="&lt;=150"/>
    <x v="0"/>
    <n v="68000"/>
    <n v="0.28000000000000003"/>
    <n v="0.18"/>
    <n v="87040"/>
    <n v="80240"/>
    <n v="-6800"/>
    <n v="5783633920"/>
    <n v="6131555648"/>
    <n v="66448"/>
    <n v="76415.199999999997"/>
    <n v="9967.1999999999971"/>
  </r>
  <r>
    <x v="27"/>
    <n v="2025"/>
    <x v="3"/>
    <s v="Bajaj"/>
    <x v="2"/>
    <n v="115"/>
    <s v="&lt;=150"/>
    <x v="0"/>
    <n v="68000"/>
    <n v="0.28000000000000003"/>
    <n v="0.18"/>
    <n v="87040"/>
    <n v="80240"/>
    <n v="-6800"/>
    <n v="6278717440"/>
    <n v="6656421536"/>
    <n v="72136"/>
    <n v="82956.399999999994"/>
    <n v="10820.399999999994"/>
  </r>
  <r>
    <x v="28"/>
    <n v="2025"/>
    <x v="4"/>
    <s v="Bajaj"/>
    <x v="2"/>
    <n v="115"/>
    <s v="&lt;=150"/>
    <x v="0"/>
    <n v="68000"/>
    <n v="0.28000000000000003"/>
    <n v="0.18"/>
    <n v="87040"/>
    <n v="80240"/>
    <n v="-6800"/>
    <n v="5529477120"/>
    <n v="5862109728"/>
    <n v="63528"/>
    <n v="73057.2"/>
    <n v="9529.1999999999971"/>
  </r>
  <r>
    <x v="29"/>
    <n v="2025"/>
    <x v="5"/>
    <s v="Bajaj"/>
    <x v="2"/>
    <n v="115"/>
    <s v="&lt;=150"/>
    <x v="0"/>
    <n v="68000"/>
    <n v="0.28000000000000003"/>
    <n v="0.18"/>
    <n v="87040"/>
    <n v="80240"/>
    <n v="-6800"/>
    <n v="4782586880"/>
    <n v="5070289372"/>
    <n v="54947"/>
    <n v="63189.049999999996"/>
    <n v="8242.0499999999956"/>
  </r>
  <r>
    <x v="30"/>
    <n v="2025"/>
    <x v="6"/>
    <s v="Bajaj"/>
    <x v="2"/>
    <n v="115"/>
    <s v="&lt;=150"/>
    <x v="0"/>
    <n v="68000"/>
    <n v="0.28000000000000003"/>
    <n v="0.18"/>
    <n v="87040"/>
    <n v="80240"/>
    <n v="-6800"/>
    <n v="3885639680"/>
    <n v="4119385191.9999995"/>
    <n v="44642"/>
    <n v="51338.299999999996"/>
    <n v="6696.2999999999956"/>
  </r>
  <r>
    <x v="31"/>
    <n v="2025"/>
    <x v="7"/>
    <s v="Bajaj"/>
    <x v="2"/>
    <n v="115"/>
    <s v="&lt;=150"/>
    <x v="0"/>
    <n v="68000"/>
    <n v="0.28000000000000003"/>
    <n v="0.18"/>
    <n v="87040"/>
    <n v="80240"/>
    <n v="-6800"/>
    <n v="4392473600"/>
    <n v="4656708339.999999"/>
    <n v="50465"/>
    <n v="58034.749999999993"/>
    <n v="7569.7499999999927"/>
  </r>
  <r>
    <x v="32"/>
    <n v="2025"/>
    <x v="8"/>
    <s v="Bajaj"/>
    <x v="2"/>
    <n v="115"/>
    <s v="&lt;=150"/>
    <x v="0"/>
    <n v="68000"/>
    <n v="0.28000000000000003"/>
    <n v="0.18"/>
    <n v="87040"/>
    <n v="80240"/>
    <n v="-6800"/>
    <n v="4701117440"/>
    <n v="4983919036"/>
    <n v="54011"/>
    <n v="62112.649999999994"/>
    <n v="8101.6499999999942"/>
  </r>
  <r>
    <x v="0"/>
    <n v="2023"/>
    <x v="0"/>
    <s v="Bajaj"/>
    <x v="3"/>
    <n v="124"/>
    <s v="&lt;=150"/>
    <x v="0"/>
    <n v="85000"/>
    <n v="0.28000000000000003"/>
    <n v="0.18"/>
    <n v="108800"/>
    <n v="100300"/>
    <n v="-8500"/>
    <n v="10662400000"/>
    <n v="11303809999.999998"/>
    <n v="98000"/>
    <n v="112699.99999999999"/>
    <n v="14699.999999999985"/>
  </r>
  <r>
    <x v="1"/>
    <n v="2023"/>
    <x v="1"/>
    <s v="Bajaj"/>
    <x v="3"/>
    <n v="124"/>
    <s v="&lt;=150"/>
    <x v="0"/>
    <n v="85000"/>
    <n v="0.28000000000000003"/>
    <n v="0.18"/>
    <n v="108800"/>
    <n v="100300"/>
    <n v="-8500"/>
    <n v="9770240000"/>
    <n v="10357980999.999998"/>
    <n v="89800"/>
    <n v="103269.99999999999"/>
    <n v="13469.999999999985"/>
  </r>
  <r>
    <x v="2"/>
    <n v="2023"/>
    <x v="2"/>
    <s v="Bajaj"/>
    <x v="3"/>
    <n v="124"/>
    <s v="&lt;=150"/>
    <x v="0"/>
    <n v="85000"/>
    <n v="0.28000000000000003"/>
    <n v="0.18"/>
    <n v="108800"/>
    <n v="100300"/>
    <n v="-8500"/>
    <n v="13556371200"/>
    <n v="14371871654.999998"/>
    <n v="124599"/>
    <n v="143288.84999999998"/>
    <n v="18689.849999999977"/>
  </r>
  <r>
    <x v="3"/>
    <n v="2023"/>
    <x v="3"/>
    <s v="Bajaj"/>
    <x v="3"/>
    <n v="124"/>
    <s v="&lt;=150"/>
    <x v="0"/>
    <n v="85000"/>
    <n v="0.28000000000000003"/>
    <n v="0.18"/>
    <n v="108800"/>
    <n v="100300"/>
    <n v="-8500"/>
    <n v="9865984000"/>
    <n v="10459484599.999998"/>
    <n v="90680"/>
    <n v="104281.99999999999"/>
    <n v="13601.999999999985"/>
  </r>
  <r>
    <x v="4"/>
    <n v="2023"/>
    <x v="4"/>
    <s v="Bajaj"/>
    <x v="3"/>
    <n v="124"/>
    <s v="&lt;=150"/>
    <x v="0"/>
    <n v="85000"/>
    <n v="0.28000000000000003"/>
    <n v="0.18"/>
    <n v="108800"/>
    <n v="100300"/>
    <n v="-8500"/>
    <n v="9851622400"/>
    <n v="10444259060"/>
    <n v="90548"/>
    <n v="104130.2"/>
    <n v="13582.199999999997"/>
  </r>
  <r>
    <x v="5"/>
    <n v="2023"/>
    <x v="5"/>
    <s v="Bajaj"/>
    <x v="3"/>
    <n v="124"/>
    <s v="&lt;=150"/>
    <x v="0"/>
    <n v="85000"/>
    <n v="0.28000000000000003"/>
    <n v="0.18"/>
    <n v="108800"/>
    <n v="100300"/>
    <n v="-8500"/>
    <n v="8747411200"/>
    <n v="9273622655"/>
    <n v="80399"/>
    <n v="92458.849999999991"/>
    <n v="12059.849999999991"/>
  </r>
  <r>
    <x v="6"/>
    <n v="2023"/>
    <x v="6"/>
    <s v="Bajaj"/>
    <x v="3"/>
    <n v="124"/>
    <s v="&lt;=150"/>
    <x v="0"/>
    <n v="85000"/>
    <n v="0.28000000000000003"/>
    <n v="0.18"/>
    <n v="108800"/>
    <n v="100300"/>
    <n v="-8500"/>
    <n v="7412652800"/>
    <n v="7858570194.999999"/>
    <n v="68131"/>
    <n v="78350.649999999994"/>
    <n v="10219.649999999994"/>
  </r>
  <r>
    <x v="7"/>
    <n v="2023"/>
    <x v="7"/>
    <s v="Bajaj"/>
    <x v="3"/>
    <n v="124"/>
    <s v="&lt;=150"/>
    <x v="0"/>
    <n v="85000"/>
    <n v="0.28000000000000003"/>
    <n v="0.18"/>
    <n v="108800"/>
    <n v="100300"/>
    <n v="-8500"/>
    <n v="7932390400"/>
    <n v="8409573260"/>
    <n v="72908"/>
    <n v="83844.2"/>
    <n v="10936.199999999997"/>
  </r>
  <r>
    <x v="8"/>
    <n v="2023"/>
    <x v="8"/>
    <s v="Bajaj"/>
    <x v="3"/>
    <n v="124"/>
    <s v="&lt;=150"/>
    <x v="0"/>
    <n v="85000"/>
    <n v="0.28000000000000003"/>
    <n v="0.18"/>
    <n v="108800"/>
    <n v="100300"/>
    <n v="-8500"/>
    <n v="7675187200"/>
    <n v="8136897679.999999"/>
    <n v="70544"/>
    <n v="81125.599999999991"/>
    <n v="10581.599999999991"/>
  </r>
  <r>
    <x v="9"/>
    <n v="2023"/>
    <x v="9"/>
    <s v="Bajaj"/>
    <x v="3"/>
    <n v="124"/>
    <s v="&lt;=150"/>
    <x v="0"/>
    <n v="85000"/>
    <n v="0.28000000000000003"/>
    <n v="0.18"/>
    <n v="108800"/>
    <n v="100300"/>
    <n v="-8500"/>
    <n v="7496646400"/>
    <n v="7947616535"/>
    <n v="68903"/>
    <n v="79238.45"/>
    <n v="10335.449999999997"/>
  </r>
  <r>
    <x v="10"/>
    <n v="2023"/>
    <x v="10"/>
    <s v="Bajaj"/>
    <x v="3"/>
    <n v="124"/>
    <s v="&lt;=150"/>
    <x v="0"/>
    <n v="85000"/>
    <n v="0.28000000000000003"/>
    <n v="0.18"/>
    <n v="108800"/>
    <n v="100300"/>
    <n v="-8500"/>
    <n v="7504153600"/>
    <n v="7955575339.999999"/>
    <n v="68972"/>
    <n v="79317.799999999988"/>
    <n v="10345.799999999988"/>
  </r>
  <r>
    <x v="11"/>
    <n v="2023"/>
    <x v="11"/>
    <s v="Bajaj"/>
    <x v="3"/>
    <n v="124"/>
    <s v="&lt;=150"/>
    <x v="0"/>
    <n v="85000"/>
    <n v="0.28000000000000003"/>
    <n v="0.18"/>
    <n v="108800"/>
    <n v="100300"/>
    <n v="-8500"/>
    <n v="8869049600"/>
    <n v="9402578364.9999981"/>
    <n v="81517"/>
    <n v="93744.549999999988"/>
    <n v="12227.549999999988"/>
  </r>
  <r>
    <x v="12"/>
    <n v="2024"/>
    <x v="0"/>
    <s v="Bajaj"/>
    <x v="3"/>
    <n v="124"/>
    <s v="&lt;=150"/>
    <x v="0"/>
    <n v="85000"/>
    <n v="0.28000000000000003"/>
    <n v="0.18"/>
    <n v="108800"/>
    <n v="100300"/>
    <n v="-8500"/>
    <n v="8320371200"/>
    <n v="8820893530"/>
    <n v="76474"/>
    <n v="87945.099999999991"/>
    <n v="11471.099999999991"/>
  </r>
  <r>
    <x v="13"/>
    <n v="2024"/>
    <x v="1"/>
    <s v="Bajaj"/>
    <x v="3"/>
    <n v="124"/>
    <s v="&lt;=150"/>
    <x v="0"/>
    <n v="85000"/>
    <n v="0.28000000000000003"/>
    <n v="0.18"/>
    <n v="108800"/>
    <n v="100300"/>
    <n v="-8500"/>
    <n v="10286496000"/>
    <n v="10905293024.999998"/>
    <n v="94545"/>
    <n v="108726.74999999999"/>
    <n v="14181.749999999985"/>
  </r>
  <r>
    <x v="14"/>
    <n v="2024"/>
    <x v="2"/>
    <s v="Bajaj"/>
    <x v="3"/>
    <n v="124"/>
    <s v="&lt;=150"/>
    <x v="0"/>
    <n v="85000"/>
    <n v="0.28000000000000003"/>
    <n v="0.18"/>
    <n v="108800"/>
    <n v="100300"/>
    <n v="-8500"/>
    <n v="8944121600"/>
    <n v="9482166414.9999981"/>
    <n v="82207"/>
    <n v="94538.049999999988"/>
    <n v="12331.049999999988"/>
  </r>
  <r>
    <x v="15"/>
    <n v="2024"/>
    <x v="3"/>
    <s v="Bajaj"/>
    <x v="3"/>
    <n v="124"/>
    <s v="&lt;=150"/>
    <x v="0"/>
    <n v="85000"/>
    <n v="0.28000000000000003"/>
    <n v="0.18"/>
    <n v="108800"/>
    <n v="100300"/>
    <n v="-8500"/>
    <n v="8088736000"/>
    <n v="8575324025"/>
    <n v="74345"/>
    <n v="85496.75"/>
    <n v="11151.75"/>
  </r>
  <r>
    <x v="16"/>
    <n v="2024"/>
    <x v="4"/>
    <s v="Bajaj"/>
    <x v="3"/>
    <n v="124"/>
    <s v="&lt;=150"/>
    <x v="0"/>
    <n v="85000"/>
    <n v="0.28000000000000003"/>
    <n v="0.18"/>
    <n v="108800"/>
    <n v="100300"/>
    <n v="-8500"/>
    <n v="9247891200"/>
    <n v="9804209655"/>
    <n v="84999"/>
    <n v="97748.849999999991"/>
    <n v="12749.849999999991"/>
  </r>
  <r>
    <x v="17"/>
    <n v="2024"/>
    <x v="5"/>
    <s v="Bajaj"/>
    <x v="3"/>
    <n v="124"/>
    <s v="&lt;=150"/>
    <x v="0"/>
    <n v="85000"/>
    <n v="0.28000000000000003"/>
    <n v="0.18"/>
    <n v="108800"/>
    <n v="100300"/>
    <n v="-8500"/>
    <n v="8796588800"/>
    <n v="9325758595"/>
    <n v="80851"/>
    <n v="92978.65"/>
    <n v="12127.649999999994"/>
  </r>
  <r>
    <x v="18"/>
    <n v="2024"/>
    <x v="6"/>
    <s v="Bajaj"/>
    <x v="3"/>
    <n v="124"/>
    <s v="&lt;=150"/>
    <x v="0"/>
    <n v="85000"/>
    <n v="0.28000000000000003"/>
    <n v="0.18"/>
    <n v="108800"/>
    <n v="100300"/>
    <n v="-8500"/>
    <n v="8089497600"/>
    <n v="8576131439.999999"/>
    <n v="74352"/>
    <n v="85504.799999999988"/>
    <n v="11152.799999999988"/>
  </r>
  <r>
    <x v="19"/>
    <n v="2024"/>
    <x v="7"/>
    <s v="Bajaj"/>
    <x v="3"/>
    <n v="124"/>
    <s v="&lt;=150"/>
    <x v="0"/>
    <n v="85000"/>
    <n v="0.28000000000000003"/>
    <n v="0.18"/>
    <n v="108800"/>
    <n v="100300"/>
    <n v="-8500"/>
    <n v="7836646400"/>
    <n v="8308069660"/>
    <n v="72028"/>
    <n v="82832.2"/>
    <n v="10804.199999999997"/>
  </r>
  <r>
    <x v="20"/>
    <n v="2024"/>
    <x v="8"/>
    <s v="Bajaj"/>
    <x v="3"/>
    <n v="124"/>
    <s v="&lt;=150"/>
    <x v="0"/>
    <n v="85000"/>
    <n v="0.28000000000000003"/>
    <n v="0.18"/>
    <n v="108800"/>
    <n v="100300"/>
    <n v="-8500"/>
    <n v="7461286400"/>
    <n v="7910129410"/>
    <n v="68578"/>
    <n v="78864.7"/>
    <n v="10286.699999999997"/>
  </r>
  <r>
    <x v="21"/>
    <n v="2024"/>
    <x v="9"/>
    <s v="Bajaj"/>
    <x v="3"/>
    <n v="124"/>
    <s v="&lt;=150"/>
    <x v="0"/>
    <n v="85000"/>
    <n v="0.28000000000000003"/>
    <n v="0.18"/>
    <n v="108800"/>
    <n v="100300"/>
    <n v="-8500"/>
    <n v="7425056000"/>
    <n v="7871719525"/>
    <n v="68245"/>
    <n v="78481.75"/>
    <n v="10236.75"/>
  </r>
  <r>
    <x v="22"/>
    <n v="2024"/>
    <x v="10"/>
    <s v="Bajaj"/>
    <x v="3"/>
    <n v="124"/>
    <s v="&lt;=150"/>
    <x v="0"/>
    <n v="85000"/>
    <n v="0.28000000000000003"/>
    <n v="0.18"/>
    <n v="108800"/>
    <n v="100300"/>
    <n v="-8500"/>
    <n v="8149120000"/>
    <n v="8639340500"/>
    <n v="74900"/>
    <n v="86135"/>
    <n v="11235"/>
  </r>
  <r>
    <x v="23"/>
    <n v="2024"/>
    <x v="11"/>
    <s v="Bajaj"/>
    <x v="3"/>
    <n v="124"/>
    <s v="&lt;=150"/>
    <x v="0"/>
    <n v="85000"/>
    <n v="0.28000000000000003"/>
    <n v="0.18"/>
    <n v="108800"/>
    <n v="100300"/>
    <n v="-8500"/>
    <n v="7899859200"/>
    <n v="8375085104.999999"/>
    <n v="72609"/>
    <n v="83500.349999999991"/>
    <n v="10891.349999999991"/>
  </r>
  <r>
    <x v="24"/>
    <n v="2025"/>
    <x v="0"/>
    <s v="Bajaj"/>
    <x v="3"/>
    <n v="124"/>
    <s v="&lt;=150"/>
    <x v="0"/>
    <n v="85000"/>
    <n v="0.28000000000000003"/>
    <n v="0.18"/>
    <n v="108800"/>
    <n v="100300"/>
    <n v="-8500"/>
    <n v="9047808000"/>
    <n v="9592090199.9999981"/>
    <n v="83160"/>
    <n v="95633.999999999985"/>
    <n v="12473.999999999985"/>
  </r>
  <r>
    <x v="25"/>
    <n v="2025"/>
    <x v="1"/>
    <s v="Bajaj"/>
    <x v="3"/>
    <n v="124"/>
    <s v="&lt;=150"/>
    <x v="0"/>
    <n v="85000"/>
    <n v="0.28000000000000003"/>
    <n v="0.18"/>
    <n v="108800"/>
    <n v="100300"/>
    <n v="-8500"/>
    <n v="9582560000"/>
    <n v="10159010874.999998"/>
    <n v="88075"/>
    <n v="101286.24999999999"/>
    <n v="13211.249999999985"/>
  </r>
  <r>
    <x v="26"/>
    <n v="2025"/>
    <x v="2"/>
    <s v="Bajaj"/>
    <x v="3"/>
    <n v="124"/>
    <s v="&lt;=150"/>
    <x v="0"/>
    <n v="85000"/>
    <n v="0.28000000000000003"/>
    <n v="0.18"/>
    <n v="108800"/>
    <n v="100300"/>
    <n v="-8500"/>
    <n v="9341241600"/>
    <n v="9903175664.9999981"/>
    <n v="85857"/>
    <n v="98735.549999999988"/>
    <n v="12878.549999999988"/>
  </r>
  <r>
    <x v="27"/>
    <n v="2025"/>
    <x v="3"/>
    <s v="Bajaj"/>
    <x v="3"/>
    <n v="124"/>
    <s v="&lt;=150"/>
    <x v="0"/>
    <n v="85000"/>
    <n v="0.28000000000000003"/>
    <n v="0.18"/>
    <n v="108800"/>
    <n v="100300"/>
    <n v="-8500"/>
    <n v="8999283200"/>
    <n v="9540646330"/>
    <n v="82714"/>
    <n v="95121.099999999991"/>
    <n v="12407.099999999991"/>
  </r>
  <r>
    <x v="28"/>
    <n v="2025"/>
    <x v="4"/>
    <s v="Bajaj"/>
    <x v="3"/>
    <n v="124"/>
    <s v="&lt;=150"/>
    <x v="0"/>
    <n v="85000"/>
    <n v="0.28000000000000003"/>
    <n v="0.18"/>
    <n v="108800"/>
    <n v="100300"/>
    <n v="-8500"/>
    <n v="8349420800"/>
    <n v="8851690645"/>
    <n v="76741"/>
    <n v="88252.15"/>
    <n v="11511.149999999994"/>
  </r>
  <r>
    <x v="29"/>
    <n v="2025"/>
    <x v="5"/>
    <s v="Bajaj"/>
    <x v="3"/>
    <n v="124"/>
    <s v="&lt;=150"/>
    <x v="0"/>
    <n v="85000"/>
    <n v="0.28000000000000003"/>
    <n v="0.18"/>
    <n v="108800"/>
    <n v="100300"/>
    <n v="-8500"/>
    <n v="7906496000"/>
    <n v="8382121150"/>
    <n v="72670"/>
    <n v="83570.5"/>
    <n v="10900.5"/>
  </r>
  <r>
    <x v="30"/>
    <n v="2025"/>
    <x v="6"/>
    <s v="Bajaj"/>
    <x v="3"/>
    <n v="124"/>
    <s v="&lt;=150"/>
    <x v="0"/>
    <n v="85000"/>
    <n v="0.28000000000000003"/>
    <n v="0.18"/>
    <n v="108800"/>
    <n v="100300"/>
    <n v="-8500"/>
    <n v="7551699200"/>
    <n v="8005981104.999999"/>
    <n v="69409"/>
    <n v="79820.349999999991"/>
    <n v="10411.349999999991"/>
  </r>
  <r>
    <x v="31"/>
    <n v="2025"/>
    <x v="7"/>
    <s v="Bajaj"/>
    <x v="3"/>
    <n v="124"/>
    <s v="&lt;=150"/>
    <x v="0"/>
    <n v="85000"/>
    <n v="0.28000000000000003"/>
    <n v="0.18"/>
    <n v="108800"/>
    <n v="100300"/>
    <n v="-8500"/>
    <n v="8337996800"/>
    <n v="8839579420"/>
    <n v="76636"/>
    <n v="88131.4"/>
    <n v="11495.399999999994"/>
  </r>
  <r>
    <x v="32"/>
    <n v="2025"/>
    <x v="8"/>
    <s v="Bajaj"/>
    <x v="3"/>
    <n v="124"/>
    <s v="&lt;=150"/>
    <x v="0"/>
    <n v="85000"/>
    <n v="0.28000000000000003"/>
    <n v="0.18"/>
    <n v="108800"/>
    <n v="100300"/>
    <n v="-8500"/>
    <n v="8395552000"/>
    <n v="8900596925"/>
    <n v="77165"/>
    <n v="88739.75"/>
    <n v="11574.75"/>
  </r>
  <r>
    <x v="0"/>
    <n v="2023"/>
    <x v="0"/>
    <s v="Bajaj"/>
    <x v="4"/>
    <n v="149"/>
    <s v="&lt;=150"/>
    <x v="0"/>
    <n v="110000"/>
    <n v="0.28000000000000003"/>
    <n v="0.18"/>
    <n v="140800"/>
    <n v="129800"/>
    <n v="-11000"/>
    <n v="11151923200"/>
    <n v="11822781079.999998"/>
    <n v="79204"/>
    <n v="91084.599999999991"/>
    <n v="11880.599999999991"/>
  </r>
  <r>
    <x v="1"/>
    <n v="2023"/>
    <x v="1"/>
    <s v="Bajaj"/>
    <x v="4"/>
    <n v="149"/>
    <s v="&lt;=150"/>
    <x v="0"/>
    <n v="110000"/>
    <n v="0.28000000000000003"/>
    <n v="0.18"/>
    <n v="140800"/>
    <n v="129800"/>
    <n v="-11000"/>
    <n v="11450560000"/>
    <n v="12139382750"/>
    <n v="81325"/>
    <n v="93523.75"/>
    <n v="12198.75"/>
  </r>
  <r>
    <x v="2"/>
    <n v="2023"/>
    <x v="2"/>
    <s v="Bajaj"/>
    <x v="4"/>
    <n v="149"/>
    <s v="&lt;=150"/>
    <x v="0"/>
    <n v="110000"/>
    <n v="0.28000000000000003"/>
    <n v="0.18"/>
    <n v="140800"/>
    <n v="129800"/>
    <n v="-11000"/>
    <n v="11508569600"/>
    <n v="12200881989.999998"/>
    <n v="81737"/>
    <n v="93997.549999999988"/>
    <n v="12260.549999999988"/>
  </r>
  <r>
    <x v="3"/>
    <n v="2023"/>
    <x v="3"/>
    <s v="Bajaj"/>
    <x v="4"/>
    <n v="149"/>
    <s v="&lt;=150"/>
    <x v="0"/>
    <n v="110000"/>
    <n v="0.28000000000000003"/>
    <n v="0.18"/>
    <n v="140800"/>
    <n v="129800"/>
    <n v="-11000"/>
    <n v="10915379200"/>
    <n v="11572007479.999998"/>
    <n v="77524"/>
    <n v="89152.599999999991"/>
    <n v="11628.599999999991"/>
  </r>
  <r>
    <x v="4"/>
    <n v="2023"/>
    <x v="4"/>
    <s v="Bajaj"/>
    <x v="4"/>
    <n v="149"/>
    <s v="&lt;=150"/>
    <x v="0"/>
    <n v="110000"/>
    <n v="0.28000000000000003"/>
    <n v="0.18"/>
    <n v="140800"/>
    <n v="129800"/>
    <n v="-11000"/>
    <n v="10032281600"/>
    <n v="10635786039.999998"/>
    <n v="71252"/>
    <n v="81939.799999999988"/>
    <n v="10687.799999999988"/>
  </r>
  <r>
    <x v="5"/>
    <n v="2023"/>
    <x v="5"/>
    <s v="Bajaj"/>
    <x v="4"/>
    <n v="149"/>
    <s v="&lt;=150"/>
    <x v="0"/>
    <n v="110000"/>
    <n v="0.28000000000000003"/>
    <n v="0.18"/>
    <n v="140800"/>
    <n v="129800"/>
    <n v="-11000"/>
    <n v="8934323200"/>
    <n v="9471778579.9999981"/>
    <n v="63454"/>
    <n v="72972.099999999991"/>
    <n v="9518.0999999999913"/>
  </r>
  <r>
    <x v="6"/>
    <n v="2023"/>
    <x v="6"/>
    <s v="Bajaj"/>
    <x v="4"/>
    <n v="149"/>
    <s v="&lt;=150"/>
    <x v="0"/>
    <n v="110000"/>
    <n v="0.28000000000000003"/>
    <n v="0.18"/>
    <n v="140800"/>
    <n v="129800"/>
    <n v="-11000"/>
    <n v="10782886400"/>
    <n v="11431544410"/>
    <n v="76583"/>
    <n v="88070.45"/>
    <n v="11487.449999999997"/>
  </r>
  <r>
    <x v="7"/>
    <n v="2023"/>
    <x v="7"/>
    <s v="Bajaj"/>
    <x v="4"/>
    <n v="149"/>
    <s v="&lt;=150"/>
    <x v="0"/>
    <n v="110000"/>
    <n v="0.28000000000000003"/>
    <n v="0.18"/>
    <n v="140800"/>
    <n v="129800"/>
    <n v="-11000"/>
    <n v="9806438400"/>
    <n v="10396356960"/>
    <n v="69648"/>
    <n v="80095.199999999997"/>
    <n v="10447.199999999997"/>
  </r>
  <r>
    <x v="8"/>
    <n v="2023"/>
    <x v="8"/>
    <s v="Bajaj"/>
    <x v="4"/>
    <n v="149"/>
    <s v="&lt;=150"/>
    <x v="0"/>
    <n v="110000"/>
    <n v="0.28000000000000003"/>
    <n v="0.18"/>
    <n v="140800"/>
    <n v="129800"/>
    <n v="-11000"/>
    <n v="10132531200"/>
    <n v="10742066279.999998"/>
    <n v="71964"/>
    <n v="82758.599999999991"/>
    <n v="10794.599999999991"/>
  </r>
  <r>
    <x v="9"/>
    <n v="2023"/>
    <x v="9"/>
    <s v="Bajaj"/>
    <x v="4"/>
    <n v="149"/>
    <s v="&lt;=150"/>
    <x v="0"/>
    <n v="110000"/>
    <n v="0.28000000000000003"/>
    <n v="0.18"/>
    <n v="140800"/>
    <n v="129800"/>
    <n v="-11000"/>
    <n v="9684224000"/>
    <n v="10266790600"/>
    <n v="68780"/>
    <n v="79097"/>
    <n v="10317"/>
  </r>
  <r>
    <x v="10"/>
    <n v="2023"/>
    <x v="10"/>
    <s v="Bajaj"/>
    <x v="4"/>
    <n v="149"/>
    <s v="&lt;=150"/>
    <x v="0"/>
    <n v="110000"/>
    <n v="0.28000000000000003"/>
    <n v="0.18"/>
    <n v="140800"/>
    <n v="129800"/>
    <n v="-11000"/>
    <n v="9548492800"/>
    <n v="10122894320"/>
    <n v="67816"/>
    <n v="77988.399999999994"/>
    <n v="10172.399999999994"/>
  </r>
  <r>
    <x v="11"/>
    <n v="2023"/>
    <x v="11"/>
    <s v="Bajaj"/>
    <x v="4"/>
    <n v="149"/>
    <s v="&lt;=150"/>
    <x v="0"/>
    <n v="110000"/>
    <n v="0.28000000000000003"/>
    <n v="0.18"/>
    <n v="140800"/>
    <n v="129800"/>
    <n v="-11000"/>
    <n v="10084518400"/>
    <n v="10691165210"/>
    <n v="71623"/>
    <n v="82366.45"/>
    <n v="10743.449999999997"/>
  </r>
  <r>
    <x v="12"/>
    <n v="2024"/>
    <x v="0"/>
    <s v="Bajaj"/>
    <x v="4"/>
    <n v="149"/>
    <s v="&lt;=150"/>
    <x v="0"/>
    <n v="110000"/>
    <n v="0.28000000000000003"/>
    <n v="0.18"/>
    <n v="140800"/>
    <n v="129800"/>
    <n v="-11000"/>
    <n v="12019532800"/>
    <n v="12742582820"/>
    <n v="85366"/>
    <n v="98170.9"/>
    <n v="12804.899999999994"/>
  </r>
  <r>
    <x v="13"/>
    <n v="2024"/>
    <x v="1"/>
    <s v="Bajaj"/>
    <x v="4"/>
    <n v="149"/>
    <s v="&lt;=150"/>
    <x v="0"/>
    <n v="110000"/>
    <n v="0.28000000000000003"/>
    <n v="0.18"/>
    <n v="140800"/>
    <n v="129800"/>
    <n v="-11000"/>
    <n v="12076134400"/>
    <n v="12802589360"/>
    <n v="85768"/>
    <n v="98633.2"/>
    <n v="12865.199999999997"/>
  </r>
  <r>
    <x v="14"/>
    <n v="2024"/>
    <x v="2"/>
    <s v="Bajaj"/>
    <x v="4"/>
    <n v="149"/>
    <s v="&lt;=150"/>
    <x v="0"/>
    <n v="110000"/>
    <n v="0.28000000000000003"/>
    <n v="0.18"/>
    <n v="140800"/>
    <n v="129800"/>
    <n v="-11000"/>
    <n v="15407603200"/>
    <n v="16334466829.999998"/>
    <n v="109429"/>
    <n v="125843.34999999999"/>
    <n v="16414.349999999991"/>
  </r>
  <r>
    <x v="15"/>
    <n v="2024"/>
    <x v="3"/>
    <s v="Bajaj"/>
    <x v="4"/>
    <n v="149"/>
    <s v="&lt;=150"/>
    <x v="0"/>
    <n v="110000"/>
    <n v="0.28000000000000003"/>
    <n v="0.18"/>
    <n v="140800"/>
    <n v="129800"/>
    <n v="-11000"/>
    <n v="12268185600"/>
    <n v="13006193639.999998"/>
    <n v="87132"/>
    <n v="100201.79999999999"/>
    <n v="13069.799999999988"/>
  </r>
  <r>
    <x v="16"/>
    <n v="2024"/>
    <x v="4"/>
    <s v="Bajaj"/>
    <x v="4"/>
    <n v="149"/>
    <s v="&lt;=150"/>
    <x v="0"/>
    <n v="110000"/>
    <n v="0.28000000000000003"/>
    <n v="0.18"/>
    <n v="140800"/>
    <n v="129800"/>
    <n v="-11000"/>
    <n v="12201024000"/>
    <n v="12934991849.999998"/>
    <n v="86655"/>
    <n v="99653.249999999985"/>
    <n v="12998.249999999985"/>
  </r>
  <r>
    <x v="17"/>
    <n v="2024"/>
    <x v="5"/>
    <s v="Bajaj"/>
    <x v="4"/>
    <n v="149"/>
    <s v="&lt;=150"/>
    <x v="0"/>
    <n v="110000"/>
    <n v="0.28000000000000003"/>
    <n v="0.18"/>
    <n v="140800"/>
    <n v="129800"/>
    <n v="-11000"/>
    <n v="10797529600"/>
    <n v="11447068489.999998"/>
    <n v="76687"/>
    <n v="88190.049999999988"/>
    <n v="11503.049999999988"/>
  </r>
  <r>
    <x v="18"/>
    <n v="2024"/>
    <x v="6"/>
    <s v="Bajaj"/>
    <x v="4"/>
    <n v="149"/>
    <s v="&lt;=150"/>
    <x v="0"/>
    <n v="110000"/>
    <n v="0.28000000000000003"/>
    <n v="0.18"/>
    <n v="140800"/>
    <n v="129800"/>
    <n v="-11000"/>
    <n v="8766067200"/>
    <n v="9293400929.9999981"/>
    <n v="62259"/>
    <n v="71597.849999999991"/>
    <n v="9338.8499999999913"/>
  </r>
  <r>
    <x v="19"/>
    <n v="2024"/>
    <x v="7"/>
    <s v="Bajaj"/>
    <x v="4"/>
    <n v="149"/>
    <s v="&lt;=150"/>
    <x v="0"/>
    <n v="110000"/>
    <n v="0.28000000000000003"/>
    <n v="0.18"/>
    <n v="140800"/>
    <n v="129800"/>
    <n v="-11000"/>
    <n v="8888844800"/>
    <n v="9423564370"/>
    <n v="63131"/>
    <n v="72600.649999999994"/>
    <n v="9469.6499999999942"/>
  </r>
  <r>
    <x v="20"/>
    <n v="2024"/>
    <x v="8"/>
    <s v="Bajaj"/>
    <x v="4"/>
    <n v="149"/>
    <s v="&lt;=150"/>
    <x v="0"/>
    <n v="110000"/>
    <n v="0.28000000000000003"/>
    <n v="0.18"/>
    <n v="140800"/>
    <n v="129800"/>
    <n v="-11000"/>
    <n v="9610585600"/>
    <n v="10188722389.999998"/>
    <n v="68257"/>
    <n v="78495.549999999988"/>
    <n v="10238.549999999988"/>
  </r>
  <r>
    <x v="21"/>
    <n v="2024"/>
    <x v="9"/>
    <s v="Bajaj"/>
    <x v="4"/>
    <n v="149"/>
    <s v="&lt;=150"/>
    <x v="0"/>
    <n v="110000"/>
    <n v="0.28000000000000003"/>
    <n v="0.18"/>
    <n v="140800"/>
    <n v="129800"/>
    <n v="-11000"/>
    <n v="9774617600"/>
    <n v="10362621939.999998"/>
    <n v="69422"/>
    <n v="79835.299999999988"/>
    <n v="10413.299999999988"/>
  </r>
  <r>
    <x v="22"/>
    <n v="2024"/>
    <x v="10"/>
    <s v="Bajaj"/>
    <x v="4"/>
    <n v="149"/>
    <s v="&lt;=150"/>
    <x v="0"/>
    <n v="110000"/>
    <n v="0.28000000000000003"/>
    <n v="0.18"/>
    <n v="140800"/>
    <n v="129800"/>
    <n v="-11000"/>
    <n v="9886412800"/>
    <n v="10481142320"/>
    <n v="70216"/>
    <n v="80748.399999999994"/>
    <n v="10532.399999999994"/>
  </r>
  <r>
    <x v="23"/>
    <n v="2024"/>
    <x v="11"/>
    <s v="Bajaj"/>
    <x v="4"/>
    <n v="149"/>
    <s v="&lt;=150"/>
    <x v="0"/>
    <n v="110000"/>
    <n v="0.28000000000000003"/>
    <n v="0.18"/>
    <n v="140800"/>
    <n v="129800"/>
    <n v="-11000"/>
    <n v="10323033600"/>
    <n v="10944028589.999998"/>
    <n v="73317"/>
    <n v="84314.549999999988"/>
    <n v="10997.549999999988"/>
  </r>
  <r>
    <x v="24"/>
    <n v="2025"/>
    <x v="0"/>
    <s v="Bajaj"/>
    <x v="4"/>
    <n v="149"/>
    <s v="&lt;=150"/>
    <x v="0"/>
    <n v="110000"/>
    <n v="0.28000000000000003"/>
    <n v="0.18"/>
    <n v="140800"/>
    <n v="129800"/>
    <n v="-11000"/>
    <n v="12580339200"/>
    <n v="13337125229.999998"/>
    <n v="89349"/>
    <n v="102751.34999999999"/>
    <n v="13402.349999999991"/>
  </r>
  <r>
    <x v="25"/>
    <n v="2025"/>
    <x v="1"/>
    <s v="Bajaj"/>
    <x v="4"/>
    <n v="149"/>
    <s v="&lt;=150"/>
    <x v="0"/>
    <n v="110000"/>
    <n v="0.28000000000000003"/>
    <n v="0.18"/>
    <n v="140800"/>
    <n v="129800"/>
    <n v="-11000"/>
    <n v="11070540800"/>
    <n v="11736503020"/>
    <n v="78626"/>
    <n v="90419.9"/>
    <n v="11793.899999999994"/>
  </r>
  <r>
    <x v="26"/>
    <n v="2025"/>
    <x v="2"/>
    <s v="Bajaj"/>
    <x v="4"/>
    <n v="149"/>
    <s v="&lt;=150"/>
    <x v="0"/>
    <n v="110000"/>
    <n v="0.28000000000000003"/>
    <n v="0.18"/>
    <n v="140800"/>
    <n v="129800"/>
    <n v="-11000"/>
    <n v="11094195200"/>
    <n v="11761580379.999998"/>
    <n v="78794"/>
    <n v="90613.099999999991"/>
    <n v="11819.099999999991"/>
  </r>
  <r>
    <x v="27"/>
    <n v="2025"/>
    <x v="3"/>
    <s v="Bajaj"/>
    <x v="4"/>
    <n v="149"/>
    <s v="&lt;=150"/>
    <x v="0"/>
    <n v="110000"/>
    <n v="0.28000000000000003"/>
    <n v="0.18"/>
    <n v="140800"/>
    <n v="129800"/>
    <n v="-11000"/>
    <n v="11882956800"/>
    <n v="12597790920"/>
    <n v="84396"/>
    <n v="97055.4"/>
    <n v="12659.399999999994"/>
  </r>
  <r>
    <x v="28"/>
    <n v="2025"/>
    <x v="4"/>
    <s v="Bajaj"/>
    <x v="4"/>
    <n v="149"/>
    <s v="&lt;=150"/>
    <x v="0"/>
    <n v="110000"/>
    <n v="0.28000000000000003"/>
    <n v="0.18"/>
    <n v="140800"/>
    <n v="129800"/>
    <n v="-11000"/>
    <n v="11170931200"/>
    <n v="11842932529.999998"/>
    <n v="79339"/>
    <n v="91239.849999999991"/>
    <n v="11900.849999999991"/>
  </r>
  <r>
    <x v="29"/>
    <n v="2025"/>
    <x v="5"/>
    <s v="Bajaj"/>
    <x v="4"/>
    <n v="149"/>
    <s v="&lt;=150"/>
    <x v="0"/>
    <n v="110000"/>
    <n v="0.28000000000000003"/>
    <n v="0.18"/>
    <n v="140800"/>
    <n v="129800"/>
    <n v="-11000"/>
    <n v="11001126400"/>
    <n v="11662912910"/>
    <n v="78133"/>
    <n v="89852.95"/>
    <n v="11719.949999999997"/>
  </r>
  <r>
    <x v="30"/>
    <n v="2025"/>
    <x v="6"/>
    <s v="Bajaj"/>
    <x v="4"/>
    <n v="149"/>
    <s v="&lt;=150"/>
    <x v="0"/>
    <n v="110000"/>
    <n v="0.28000000000000003"/>
    <n v="0.18"/>
    <n v="140800"/>
    <n v="129800"/>
    <n v="-11000"/>
    <n v="9541030400"/>
    <n v="10114983010"/>
    <n v="67763"/>
    <n v="77927.45"/>
    <n v="10164.449999999997"/>
  </r>
  <r>
    <x v="31"/>
    <n v="2025"/>
    <x v="7"/>
    <s v="Bajaj"/>
    <x v="4"/>
    <n v="149"/>
    <s v="&lt;=150"/>
    <x v="0"/>
    <n v="110000"/>
    <n v="0.28000000000000003"/>
    <n v="0.18"/>
    <n v="140800"/>
    <n v="129800"/>
    <n v="-11000"/>
    <n v="9741670400"/>
    <n v="10327692760"/>
    <n v="69188"/>
    <n v="79566.2"/>
    <n v="10378.199999999997"/>
  </r>
  <r>
    <x v="32"/>
    <n v="2025"/>
    <x v="8"/>
    <s v="Bajaj"/>
    <x v="4"/>
    <n v="149"/>
    <s v="&lt;=150"/>
    <x v="0"/>
    <n v="110000"/>
    <n v="0.28000000000000003"/>
    <n v="0.18"/>
    <n v="140800"/>
    <n v="129800"/>
    <n v="-11000"/>
    <n v="7770470400"/>
    <n v="8237912760"/>
    <n v="55188"/>
    <n v="63466.2"/>
    <n v="8278.1999999999971"/>
  </r>
  <r>
    <x v="0"/>
    <n v="2023"/>
    <x v="0"/>
    <s v="Bajaj"/>
    <x v="5"/>
    <n v="160"/>
    <s v="151-350"/>
    <x v="1"/>
    <n v="125000"/>
    <n v="0.28000000000000003"/>
    <n v="0.18"/>
    <n v="160000"/>
    <n v="147500"/>
    <n v="-12500"/>
    <n v="8137440000"/>
    <n v="7876787625.000001"/>
    <n v="50859"/>
    <n v="53401.950000000004"/>
    <n v="2542.9500000000044"/>
  </r>
  <r>
    <x v="1"/>
    <n v="2023"/>
    <x v="1"/>
    <s v="Bajaj"/>
    <x v="5"/>
    <n v="160"/>
    <s v="151-350"/>
    <x v="1"/>
    <n v="125000"/>
    <n v="0.28000000000000003"/>
    <n v="0.18"/>
    <n v="160000"/>
    <n v="147500"/>
    <n v="-12500"/>
    <n v="8410720000"/>
    <n v="8141314125.000001"/>
    <n v="52567"/>
    <n v="55195.350000000006"/>
    <n v="2628.3500000000058"/>
  </r>
  <r>
    <x v="2"/>
    <n v="2023"/>
    <x v="2"/>
    <s v="Bajaj"/>
    <x v="5"/>
    <n v="160"/>
    <s v="151-350"/>
    <x v="1"/>
    <n v="125000"/>
    <n v="0.28000000000000003"/>
    <n v="0.18"/>
    <n v="160000"/>
    <n v="147500"/>
    <n v="-12500"/>
    <n v="8706880000"/>
    <n v="8427987750"/>
    <n v="54418"/>
    <n v="57138.9"/>
    <n v="2720.9000000000015"/>
  </r>
  <r>
    <x v="3"/>
    <n v="2023"/>
    <x v="3"/>
    <s v="Bajaj"/>
    <x v="5"/>
    <n v="160"/>
    <s v="151-350"/>
    <x v="1"/>
    <n v="125000"/>
    <n v="0.28000000000000003"/>
    <n v="0.18"/>
    <n v="160000"/>
    <n v="147500"/>
    <n v="-12500"/>
    <n v="9680000000"/>
    <n v="9369937500"/>
    <n v="60500"/>
    <n v="63525"/>
    <n v="3025"/>
  </r>
  <r>
    <x v="4"/>
    <n v="2023"/>
    <x v="4"/>
    <s v="Bajaj"/>
    <x v="5"/>
    <n v="160"/>
    <s v="151-350"/>
    <x v="1"/>
    <n v="125000"/>
    <n v="0.28000000000000003"/>
    <n v="0.18"/>
    <n v="160000"/>
    <n v="147500"/>
    <n v="-12500"/>
    <n v="8959840000"/>
    <n v="8672845125"/>
    <n v="55999"/>
    <n v="58798.950000000004"/>
    <n v="2799.9500000000044"/>
  </r>
  <r>
    <x v="5"/>
    <n v="2023"/>
    <x v="5"/>
    <s v="Bajaj"/>
    <x v="5"/>
    <n v="160"/>
    <s v="151-350"/>
    <x v="1"/>
    <n v="125000"/>
    <n v="0.28000000000000003"/>
    <n v="0.18"/>
    <n v="160000"/>
    <n v="147500"/>
    <n v="-12500"/>
    <n v="8085440000"/>
    <n v="7826453250.000001"/>
    <n v="50534"/>
    <n v="53060.700000000004"/>
    <n v="2526.7000000000044"/>
  </r>
  <r>
    <x v="6"/>
    <n v="2023"/>
    <x v="6"/>
    <s v="Bajaj"/>
    <x v="5"/>
    <n v="160"/>
    <s v="151-350"/>
    <x v="1"/>
    <n v="125000"/>
    <n v="0.28000000000000003"/>
    <n v="0.18"/>
    <n v="160000"/>
    <n v="147500"/>
    <n v="-12500"/>
    <n v="7177440000"/>
    <n v="6947537625.000001"/>
    <n v="44859"/>
    <n v="47101.950000000004"/>
    <n v="2242.9500000000044"/>
  </r>
  <r>
    <x v="7"/>
    <n v="2023"/>
    <x v="7"/>
    <s v="Bajaj"/>
    <x v="5"/>
    <n v="160"/>
    <s v="151-350"/>
    <x v="1"/>
    <n v="125000"/>
    <n v="0.28000000000000003"/>
    <n v="0.18"/>
    <n v="160000"/>
    <n v="147500"/>
    <n v="-12500"/>
    <n v="7047680000"/>
    <n v="6821934000"/>
    <n v="44048"/>
    <n v="46250.400000000001"/>
    <n v="2202.4000000000015"/>
  </r>
  <r>
    <x v="8"/>
    <n v="2023"/>
    <x v="8"/>
    <s v="Bajaj"/>
    <x v="5"/>
    <n v="160"/>
    <s v="151-350"/>
    <x v="1"/>
    <n v="125000"/>
    <n v="0.28000000000000003"/>
    <n v="0.18"/>
    <n v="160000"/>
    <n v="147500"/>
    <n v="-12500"/>
    <n v="6950880000"/>
    <n v="6728234625"/>
    <n v="43443"/>
    <n v="45615.15"/>
    <n v="2172.1500000000015"/>
  </r>
  <r>
    <x v="9"/>
    <n v="2023"/>
    <x v="9"/>
    <s v="Bajaj"/>
    <x v="5"/>
    <n v="160"/>
    <s v="151-350"/>
    <x v="1"/>
    <n v="125000"/>
    <n v="0.28000000000000003"/>
    <n v="0.18"/>
    <n v="160000"/>
    <n v="147500"/>
    <n v="-12500"/>
    <n v="6592640000"/>
    <n v="6381469500.000001"/>
    <n v="41204"/>
    <n v="43264.200000000004"/>
    <n v="2060.2000000000044"/>
  </r>
  <r>
    <x v="10"/>
    <n v="2023"/>
    <x v="10"/>
    <s v="Bajaj"/>
    <x v="5"/>
    <n v="160"/>
    <s v="151-350"/>
    <x v="1"/>
    <n v="125000"/>
    <n v="0.28000000000000003"/>
    <n v="0.18"/>
    <n v="160000"/>
    <n v="147500"/>
    <n v="-12500"/>
    <n v="7046240000"/>
    <n v="6820540125.000001"/>
    <n v="44039"/>
    <n v="46240.950000000004"/>
    <n v="2201.9500000000044"/>
  </r>
  <r>
    <x v="11"/>
    <n v="2023"/>
    <x v="11"/>
    <s v="Bajaj"/>
    <x v="5"/>
    <n v="160"/>
    <s v="151-350"/>
    <x v="1"/>
    <n v="125000"/>
    <n v="0.28000000000000003"/>
    <n v="0.18"/>
    <n v="160000"/>
    <n v="147500"/>
    <n v="-12500"/>
    <n v="9494560000"/>
    <n v="9190437375"/>
    <n v="59341"/>
    <n v="62308.05"/>
    <n v="2967.0500000000029"/>
  </r>
  <r>
    <x v="12"/>
    <n v="2024"/>
    <x v="0"/>
    <s v="Bajaj"/>
    <x v="5"/>
    <n v="160"/>
    <s v="151-350"/>
    <x v="1"/>
    <n v="125000"/>
    <n v="0.28000000000000003"/>
    <n v="0.18"/>
    <n v="160000"/>
    <n v="147500"/>
    <n v="-12500"/>
    <n v="8761600000"/>
    <n v="8480955000"/>
    <n v="54760"/>
    <n v="57498"/>
    <n v="2738"/>
  </r>
  <r>
    <x v="13"/>
    <n v="2024"/>
    <x v="1"/>
    <s v="Bajaj"/>
    <x v="5"/>
    <n v="160"/>
    <s v="151-350"/>
    <x v="1"/>
    <n v="125000"/>
    <n v="0.28000000000000003"/>
    <n v="0.18"/>
    <n v="160000"/>
    <n v="147500"/>
    <n v="-12500"/>
    <n v="7851200000"/>
    <n v="7599716250"/>
    <n v="49070"/>
    <n v="51523.5"/>
    <n v="2453.5"/>
  </r>
  <r>
    <x v="14"/>
    <n v="2024"/>
    <x v="2"/>
    <s v="Bajaj"/>
    <x v="5"/>
    <n v="160"/>
    <s v="151-350"/>
    <x v="1"/>
    <n v="125000"/>
    <n v="0.28000000000000003"/>
    <n v="0.18"/>
    <n v="160000"/>
    <n v="147500"/>
    <n v="-12500"/>
    <n v="9057120000"/>
    <n v="8767009125"/>
    <n v="56607"/>
    <n v="59437.350000000006"/>
    <n v="2830.3500000000058"/>
  </r>
  <r>
    <x v="15"/>
    <n v="2024"/>
    <x v="3"/>
    <s v="Bajaj"/>
    <x v="5"/>
    <n v="160"/>
    <s v="151-350"/>
    <x v="1"/>
    <n v="125000"/>
    <n v="0.28000000000000003"/>
    <n v="0.18"/>
    <n v="160000"/>
    <n v="147500"/>
    <n v="-12500"/>
    <n v="9313120000"/>
    <n v="9014809125"/>
    <n v="58207"/>
    <n v="61117.350000000006"/>
    <n v="2910.3500000000058"/>
  </r>
  <r>
    <x v="16"/>
    <n v="2024"/>
    <x v="4"/>
    <s v="Bajaj"/>
    <x v="5"/>
    <n v="160"/>
    <s v="151-350"/>
    <x v="1"/>
    <n v="125000"/>
    <n v="0.28000000000000003"/>
    <n v="0.18"/>
    <n v="160000"/>
    <n v="147500"/>
    <n v="-12500"/>
    <n v="10025600000"/>
    <n v="9704467500"/>
    <n v="62660"/>
    <n v="65793"/>
    <n v="3133"/>
  </r>
  <r>
    <x v="17"/>
    <n v="2024"/>
    <x v="5"/>
    <s v="Bajaj"/>
    <x v="5"/>
    <n v="160"/>
    <s v="151-350"/>
    <x v="1"/>
    <n v="125000"/>
    <n v="0.28000000000000003"/>
    <n v="0.18"/>
    <n v="160000"/>
    <n v="147500"/>
    <n v="-12500"/>
    <n v="7571840000"/>
    <n v="7329304500.000001"/>
    <n v="47324"/>
    <n v="49690.200000000004"/>
    <n v="2366.2000000000044"/>
  </r>
  <r>
    <x v="18"/>
    <n v="2024"/>
    <x v="6"/>
    <s v="Bajaj"/>
    <x v="5"/>
    <n v="160"/>
    <s v="151-350"/>
    <x v="1"/>
    <n v="125000"/>
    <n v="0.28000000000000003"/>
    <n v="0.18"/>
    <n v="160000"/>
    <n v="147500"/>
    <n v="-12500"/>
    <n v="7974080000"/>
    <n v="7718660250"/>
    <n v="49838"/>
    <n v="52329.9"/>
    <n v="2491.9000000000015"/>
  </r>
  <r>
    <x v="19"/>
    <n v="2024"/>
    <x v="7"/>
    <s v="Bajaj"/>
    <x v="5"/>
    <n v="160"/>
    <s v="151-350"/>
    <x v="1"/>
    <n v="125000"/>
    <n v="0.28000000000000003"/>
    <n v="0.18"/>
    <n v="160000"/>
    <n v="147500"/>
    <n v="-12500"/>
    <n v="6365760000"/>
    <n v="6161856750"/>
    <n v="39786"/>
    <n v="41775.300000000003"/>
    <n v="1989.3000000000029"/>
  </r>
  <r>
    <x v="20"/>
    <n v="2024"/>
    <x v="8"/>
    <s v="Bajaj"/>
    <x v="5"/>
    <n v="160"/>
    <s v="151-350"/>
    <x v="1"/>
    <n v="125000"/>
    <n v="0.28000000000000003"/>
    <n v="0.18"/>
    <n v="160000"/>
    <n v="147500"/>
    <n v="-12500"/>
    <n v="5653760000"/>
    <n v="5472663000"/>
    <n v="35336"/>
    <n v="37102.800000000003"/>
    <n v="1766.8000000000029"/>
  </r>
  <r>
    <x v="21"/>
    <n v="2024"/>
    <x v="9"/>
    <s v="Bajaj"/>
    <x v="5"/>
    <n v="160"/>
    <s v="151-350"/>
    <x v="1"/>
    <n v="125000"/>
    <n v="0.28000000000000003"/>
    <n v="0.18"/>
    <n v="160000"/>
    <n v="147500"/>
    <n v="-12500"/>
    <n v="7688800000"/>
    <n v="7442518125"/>
    <n v="48055"/>
    <n v="50457.75"/>
    <n v="2402.75"/>
  </r>
  <r>
    <x v="22"/>
    <n v="2024"/>
    <x v="10"/>
    <s v="Bajaj"/>
    <x v="5"/>
    <n v="160"/>
    <s v="151-350"/>
    <x v="1"/>
    <n v="125000"/>
    <n v="0.28000000000000003"/>
    <n v="0.18"/>
    <n v="160000"/>
    <n v="147500"/>
    <n v="-12500"/>
    <n v="8809600000"/>
    <n v="8527417500"/>
    <n v="55060"/>
    <n v="57813"/>
    <n v="2753"/>
  </r>
  <r>
    <x v="23"/>
    <n v="2024"/>
    <x v="11"/>
    <s v="Bajaj"/>
    <x v="5"/>
    <n v="160"/>
    <s v="151-350"/>
    <x v="1"/>
    <n v="125000"/>
    <n v="0.28000000000000003"/>
    <n v="0.18"/>
    <n v="160000"/>
    <n v="147500"/>
    <n v="-12500"/>
    <n v="7024160000"/>
    <n v="6799167375"/>
    <n v="43901"/>
    <n v="46096.05"/>
    <n v="2195.0500000000029"/>
  </r>
  <r>
    <x v="24"/>
    <n v="2025"/>
    <x v="0"/>
    <s v="Bajaj"/>
    <x v="5"/>
    <n v="160"/>
    <s v="151-350"/>
    <x v="1"/>
    <n v="125000"/>
    <n v="0.28000000000000003"/>
    <n v="0.18"/>
    <n v="160000"/>
    <n v="147500"/>
    <n v="-12500"/>
    <n v="7883200000"/>
    <n v="7630691250"/>
    <n v="49270"/>
    <n v="51733.5"/>
    <n v="2463.5"/>
  </r>
  <r>
    <x v="25"/>
    <n v="2025"/>
    <x v="1"/>
    <s v="Bajaj"/>
    <x v="5"/>
    <n v="160"/>
    <s v="151-350"/>
    <x v="1"/>
    <n v="125000"/>
    <n v="0.28000000000000003"/>
    <n v="0.18"/>
    <n v="160000"/>
    <n v="147500"/>
    <n v="-12500"/>
    <n v="9973280000"/>
    <n v="9653823375"/>
    <n v="62333"/>
    <n v="65449.65"/>
    <n v="3116.6500000000015"/>
  </r>
  <r>
    <x v="26"/>
    <n v="2025"/>
    <x v="2"/>
    <s v="Bajaj"/>
    <x v="5"/>
    <n v="160"/>
    <s v="151-350"/>
    <x v="1"/>
    <n v="125000"/>
    <n v="0.28000000000000003"/>
    <n v="0.18"/>
    <n v="160000"/>
    <n v="147500"/>
    <n v="-12500"/>
    <n v="9866720000"/>
    <n v="9550676625"/>
    <n v="61667"/>
    <n v="64750.350000000006"/>
    <n v="3083.3500000000058"/>
  </r>
  <r>
    <x v="27"/>
    <n v="2025"/>
    <x v="3"/>
    <s v="Bajaj"/>
    <x v="5"/>
    <n v="160"/>
    <s v="151-350"/>
    <x v="1"/>
    <n v="125000"/>
    <n v="0.28000000000000003"/>
    <n v="0.18"/>
    <n v="160000"/>
    <n v="147500"/>
    <n v="-12500"/>
    <n v="8808480000"/>
    <n v="8526333375"/>
    <n v="55053"/>
    <n v="57805.65"/>
    <n v="2752.6500000000015"/>
  </r>
  <r>
    <x v="28"/>
    <n v="2025"/>
    <x v="4"/>
    <s v="Bajaj"/>
    <x v="5"/>
    <n v="160"/>
    <s v="151-350"/>
    <x v="1"/>
    <n v="125000"/>
    <n v="0.28000000000000003"/>
    <n v="0.18"/>
    <n v="160000"/>
    <n v="147500"/>
    <n v="-12500"/>
    <n v="8465760000"/>
    <n v="8194591125"/>
    <n v="52911"/>
    <n v="55556.55"/>
    <n v="2645.5500000000029"/>
  </r>
  <r>
    <x v="29"/>
    <n v="2025"/>
    <x v="5"/>
    <s v="Bajaj"/>
    <x v="5"/>
    <n v="160"/>
    <s v="151-350"/>
    <x v="1"/>
    <n v="125000"/>
    <n v="0.28000000000000003"/>
    <n v="0.18"/>
    <n v="160000"/>
    <n v="147500"/>
    <n v="-12500"/>
    <n v="7940000000"/>
    <n v="7685671875"/>
    <n v="49625"/>
    <n v="52106.25"/>
    <n v="2481.25"/>
  </r>
  <r>
    <x v="30"/>
    <n v="2025"/>
    <x v="6"/>
    <s v="Bajaj"/>
    <x v="5"/>
    <n v="160"/>
    <s v="151-350"/>
    <x v="1"/>
    <n v="125000"/>
    <n v="0.28000000000000003"/>
    <n v="0.18"/>
    <n v="160000"/>
    <n v="147500"/>
    <n v="-12500"/>
    <n v="8117120000"/>
    <n v="7857118500.000001"/>
    <n v="50732"/>
    <n v="53268.600000000006"/>
    <n v="2536.6000000000058"/>
  </r>
  <r>
    <x v="31"/>
    <n v="2025"/>
    <x v="7"/>
    <s v="Bajaj"/>
    <x v="5"/>
    <n v="160"/>
    <s v="151-350"/>
    <x v="1"/>
    <n v="125000"/>
    <n v="0.28000000000000003"/>
    <n v="0.18"/>
    <n v="160000"/>
    <n v="147500"/>
    <n v="-12500"/>
    <n v="7131040000"/>
    <n v="6902623875.000001"/>
    <n v="44569"/>
    <n v="46797.450000000004"/>
    <n v="2228.4500000000044"/>
  </r>
  <r>
    <x v="32"/>
    <n v="2025"/>
    <x v="8"/>
    <s v="Bajaj"/>
    <x v="5"/>
    <n v="160"/>
    <s v="151-350"/>
    <x v="1"/>
    <n v="125000"/>
    <n v="0.28000000000000003"/>
    <n v="0.18"/>
    <n v="160000"/>
    <n v="147500"/>
    <n v="-12500"/>
    <n v="7166240000"/>
    <n v="6936696375.000001"/>
    <n v="44789"/>
    <n v="47028.450000000004"/>
    <n v="2239.4500000000044"/>
  </r>
  <r>
    <x v="0"/>
    <n v="2023"/>
    <x v="0"/>
    <s v="Bajaj"/>
    <x v="6"/>
    <n v="160"/>
    <s v="151-350"/>
    <x v="1"/>
    <n v="115000"/>
    <n v="0.28000000000000003"/>
    <n v="0.18"/>
    <n v="147200"/>
    <n v="135700"/>
    <n v="-11500"/>
    <n v="3348800000"/>
    <n v="3241533750"/>
    <n v="22750"/>
    <n v="23887.5"/>
    <n v="1137.5"/>
  </r>
  <r>
    <x v="1"/>
    <n v="2023"/>
    <x v="1"/>
    <s v="Bajaj"/>
    <x v="6"/>
    <n v="160"/>
    <s v="151-350"/>
    <x v="1"/>
    <n v="115000"/>
    <n v="0.28000000000000003"/>
    <n v="0.18"/>
    <n v="147200"/>
    <n v="135700"/>
    <n v="-11500"/>
    <n v="3185113600"/>
    <n v="3083090430"/>
    <n v="21638"/>
    <n v="22719.9"/>
    <n v="1081.9000000000015"/>
  </r>
  <r>
    <x v="2"/>
    <n v="2023"/>
    <x v="2"/>
    <s v="Bajaj"/>
    <x v="6"/>
    <n v="160"/>
    <s v="151-350"/>
    <x v="1"/>
    <n v="115000"/>
    <n v="0.28000000000000003"/>
    <n v="0.18"/>
    <n v="147200"/>
    <n v="135700"/>
    <n v="-11500"/>
    <n v="3785984000"/>
    <n v="3664714200"/>
    <n v="25720"/>
    <n v="27006"/>
    <n v="1286"/>
  </r>
  <r>
    <x v="3"/>
    <n v="2023"/>
    <x v="3"/>
    <s v="Bajaj"/>
    <x v="6"/>
    <n v="160"/>
    <s v="151-350"/>
    <x v="1"/>
    <n v="115000"/>
    <n v="0.28000000000000003"/>
    <n v="0.18"/>
    <n v="147200"/>
    <n v="135700"/>
    <n v="-11500"/>
    <n v="2950035200"/>
    <n v="2855541885"/>
    <n v="20041"/>
    <n v="21043.05"/>
    <n v="1002.0499999999993"/>
  </r>
  <r>
    <x v="4"/>
    <n v="2023"/>
    <x v="4"/>
    <s v="Bajaj"/>
    <x v="6"/>
    <n v="160"/>
    <s v="151-350"/>
    <x v="1"/>
    <n v="115000"/>
    <n v="0.28000000000000003"/>
    <n v="0.18"/>
    <n v="147200"/>
    <n v="135700"/>
    <n v="-11500"/>
    <n v="3214848000"/>
    <n v="3111872400"/>
    <n v="21840"/>
    <n v="22932"/>
    <n v="1092"/>
  </r>
  <r>
    <x v="5"/>
    <n v="2023"/>
    <x v="5"/>
    <s v="Bajaj"/>
    <x v="6"/>
    <n v="160"/>
    <s v="151-350"/>
    <x v="1"/>
    <n v="115000"/>
    <n v="0.28000000000000003"/>
    <n v="0.18"/>
    <n v="147200"/>
    <n v="135700"/>
    <n v="-11500"/>
    <n v="2499014400"/>
    <n v="2418967845.0000005"/>
    <n v="16977"/>
    <n v="17825.850000000002"/>
    <n v="848.85000000000218"/>
  </r>
  <r>
    <x v="6"/>
    <n v="2023"/>
    <x v="6"/>
    <s v="Bajaj"/>
    <x v="6"/>
    <n v="160"/>
    <s v="151-350"/>
    <x v="1"/>
    <n v="115000"/>
    <n v="0.28000000000000003"/>
    <n v="0.18"/>
    <n v="147200"/>
    <n v="135700"/>
    <n v="-11500"/>
    <n v="2633555200"/>
    <n v="2549199135"/>
    <n v="17891"/>
    <n v="18785.55"/>
    <n v="894.54999999999927"/>
  </r>
  <r>
    <x v="7"/>
    <n v="2023"/>
    <x v="7"/>
    <s v="Bajaj"/>
    <x v="6"/>
    <n v="160"/>
    <s v="151-350"/>
    <x v="1"/>
    <n v="115000"/>
    <n v="0.28000000000000003"/>
    <n v="0.18"/>
    <n v="147200"/>
    <n v="135700"/>
    <n v="-11500"/>
    <n v="2527571200"/>
    <n v="2446609935"/>
    <n v="17171"/>
    <n v="18029.55"/>
    <n v="858.54999999999927"/>
  </r>
  <r>
    <x v="8"/>
    <n v="2023"/>
    <x v="8"/>
    <s v="Bajaj"/>
    <x v="6"/>
    <n v="160"/>
    <s v="151-350"/>
    <x v="1"/>
    <n v="115000"/>
    <n v="0.28000000000000003"/>
    <n v="0.18"/>
    <n v="147200"/>
    <n v="135700"/>
    <n v="-11500"/>
    <n v="2467955200"/>
    <n v="2388903510"/>
    <n v="16766"/>
    <n v="17604.3"/>
    <n v="838.29999999999927"/>
  </r>
  <r>
    <x v="9"/>
    <n v="2023"/>
    <x v="9"/>
    <s v="Bajaj"/>
    <x v="6"/>
    <n v="160"/>
    <s v="151-350"/>
    <x v="1"/>
    <n v="115000"/>
    <n v="0.28000000000000003"/>
    <n v="0.18"/>
    <n v="147200"/>
    <n v="135700"/>
    <n v="-11500"/>
    <n v="2218156800"/>
    <n v="2147106465"/>
    <n v="15069"/>
    <n v="15822.45"/>
    <n v="753.45000000000073"/>
  </r>
  <r>
    <x v="10"/>
    <n v="2023"/>
    <x v="10"/>
    <s v="Bajaj"/>
    <x v="6"/>
    <n v="160"/>
    <s v="151-350"/>
    <x v="1"/>
    <n v="115000"/>
    <n v="0.28000000000000003"/>
    <n v="0.18"/>
    <n v="147200"/>
    <n v="135700"/>
    <n v="-11500"/>
    <n v="2772659200"/>
    <n v="2683847460"/>
    <n v="18836"/>
    <n v="19777.8"/>
    <n v="941.79999999999927"/>
  </r>
  <r>
    <x v="11"/>
    <n v="2023"/>
    <x v="11"/>
    <s v="Bajaj"/>
    <x v="6"/>
    <n v="160"/>
    <s v="151-350"/>
    <x v="1"/>
    <n v="115000"/>
    <n v="0.28000000000000003"/>
    <n v="0.18"/>
    <n v="147200"/>
    <n v="135700"/>
    <n v="-11500"/>
    <n v="2886297600"/>
    <n v="2793845880"/>
    <n v="19608"/>
    <n v="20588.400000000001"/>
    <n v="980.40000000000146"/>
  </r>
  <r>
    <x v="12"/>
    <n v="2024"/>
    <x v="0"/>
    <s v="Bajaj"/>
    <x v="6"/>
    <n v="160"/>
    <s v="151-350"/>
    <x v="1"/>
    <n v="115000"/>
    <n v="0.28000000000000003"/>
    <n v="0.18"/>
    <n v="147200"/>
    <n v="135700"/>
    <n v="-11500"/>
    <n v="3241638400"/>
    <n v="3137804670.0000005"/>
    <n v="22022"/>
    <n v="23123.100000000002"/>
    <n v="1101.1000000000022"/>
  </r>
  <r>
    <x v="13"/>
    <n v="2024"/>
    <x v="1"/>
    <s v="Bajaj"/>
    <x v="6"/>
    <n v="160"/>
    <s v="151-350"/>
    <x v="1"/>
    <n v="115000"/>
    <n v="0.28000000000000003"/>
    <n v="0.18"/>
    <n v="147200"/>
    <n v="135700"/>
    <n v="-11500"/>
    <n v="3855756800"/>
    <n v="3732252090"/>
    <n v="26194"/>
    <n v="27503.7"/>
    <n v="1309.7000000000007"/>
  </r>
  <r>
    <x v="14"/>
    <n v="2024"/>
    <x v="2"/>
    <s v="Bajaj"/>
    <x v="6"/>
    <n v="160"/>
    <s v="151-350"/>
    <x v="1"/>
    <n v="115000"/>
    <n v="0.28000000000000003"/>
    <n v="0.18"/>
    <n v="147200"/>
    <n v="135700"/>
    <n v="-11500"/>
    <n v="3534860800"/>
    <n v="3421634790"/>
    <n v="24014"/>
    <n v="25214.7"/>
    <n v="1200.7000000000007"/>
  </r>
  <r>
    <x v="15"/>
    <n v="2024"/>
    <x v="3"/>
    <s v="Bajaj"/>
    <x v="6"/>
    <n v="160"/>
    <s v="151-350"/>
    <x v="1"/>
    <n v="115000"/>
    <n v="0.28000000000000003"/>
    <n v="0.18"/>
    <n v="147200"/>
    <n v="135700"/>
    <n v="-11500"/>
    <n v="3507628800"/>
    <n v="3395275065"/>
    <n v="23829"/>
    <n v="25020.45"/>
    <n v="1191.4500000000007"/>
  </r>
  <r>
    <x v="16"/>
    <n v="2024"/>
    <x v="4"/>
    <s v="Bajaj"/>
    <x v="6"/>
    <n v="160"/>
    <s v="151-350"/>
    <x v="1"/>
    <n v="115000"/>
    <n v="0.28000000000000003"/>
    <n v="0.18"/>
    <n v="147200"/>
    <n v="135700"/>
    <n v="-11500"/>
    <n v="2935904000"/>
    <n v="2841863325"/>
    <n v="19945"/>
    <n v="20942.25"/>
    <n v="997.25"/>
  </r>
  <r>
    <x v="17"/>
    <n v="2024"/>
    <x v="5"/>
    <s v="Bajaj"/>
    <x v="6"/>
    <n v="160"/>
    <s v="151-350"/>
    <x v="1"/>
    <n v="115000"/>
    <n v="0.28000000000000003"/>
    <n v="0.18"/>
    <n v="147200"/>
    <n v="135700"/>
    <n v="-11500"/>
    <n v="2363884800"/>
    <n v="2288166615"/>
    <n v="16059"/>
    <n v="16861.95"/>
    <n v="802.95000000000073"/>
  </r>
  <r>
    <x v="18"/>
    <n v="2024"/>
    <x v="6"/>
    <s v="Bajaj"/>
    <x v="6"/>
    <n v="160"/>
    <s v="151-350"/>
    <x v="1"/>
    <n v="115000"/>
    <n v="0.28000000000000003"/>
    <n v="0.18"/>
    <n v="147200"/>
    <n v="135700"/>
    <n v="-11500"/>
    <n v="2493273600"/>
    <n v="2413410930"/>
    <n v="16938"/>
    <n v="17784.900000000001"/>
    <n v="846.90000000000146"/>
  </r>
  <r>
    <x v="19"/>
    <n v="2024"/>
    <x v="7"/>
    <s v="Bajaj"/>
    <x v="6"/>
    <n v="160"/>
    <s v="151-350"/>
    <x v="1"/>
    <n v="115000"/>
    <n v="0.28000000000000003"/>
    <n v="0.18"/>
    <n v="147200"/>
    <n v="135700"/>
    <n v="-11500"/>
    <n v="2632819200"/>
    <n v="2548486710"/>
    <n v="17886"/>
    <n v="18780.3"/>
    <n v="894.29999999999927"/>
  </r>
  <r>
    <x v="20"/>
    <n v="2024"/>
    <x v="8"/>
    <s v="Bajaj"/>
    <x v="6"/>
    <n v="160"/>
    <s v="151-350"/>
    <x v="1"/>
    <n v="115000"/>
    <n v="0.28000000000000003"/>
    <n v="0.18"/>
    <n v="147200"/>
    <n v="135700"/>
    <n v="-11500"/>
    <n v="2614860800"/>
    <n v="2531103540"/>
    <n v="17764"/>
    <n v="18652.2"/>
    <n v="888.20000000000073"/>
  </r>
  <r>
    <x v="21"/>
    <n v="2024"/>
    <x v="9"/>
    <s v="Bajaj"/>
    <x v="6"/>
    <n v="160"/>
    <s v="151-350"/>
    <x v="1"/>
    <n v="115000"/>
    <n v="0.28000000000000003"/>
    <n v="0.18"/>
    <n v="147200"/>
    <n v="135700"/>
    <n v="-11500"/>
    <n v="2854944000"/>
    <n v="2763496575"/>
    <n v="19395"/>
    <n v="20364.75"/>
    <n v="969.75"/>
  </r>
  <r>
    <x v="22"/>
    <n v="2024"/>
    <x v="10"/>
    <s v="Bajaj"/>
    <x v="6"/>
    <n v="160"/>
    <s v="151-350"/>
    <x v="1"/>
    <n v="115000"/>
    <n v="0.28000000000000003"/>
    <n v="0.18"/>
    <n v="147200"/>
    <n v="135700"/>
    <n v="-11500"/>
    <n v="2407308800"/>
    <n v="2330199690"/>
    <n v="16354"/>
    <n v="17171.7"/>
    <n v="817.70000000000073"/>
  </r>
  <r>
    <x v="23"/>
    <n v="2024"/>
    <x v="11"/>
    <s v="Bajaj"/>
    <x v="6"/>
    <n v="160"/>
    <s v="151-350"/>
    <x v="1"/>
    <n v="115000"/>
    <n v="0.28000000000000003"/>
    <n v="0.18"/>
    <n v="147200"/>
    <n v="135700"/>
    <n v="-11500"/>
    <n v="3069414400"/>
    <n v="2971097220.0000005"/>
    <n v="20852"/>
    <n v="21894.600000000002"/>
    <n v="1042.6000000000022"/>
  </r>
  <r>
    <x v="24"/>
    <n v="2025"/>
    <x v="0"/>
    <s v="Bajaj"/>
    <x v="6"/>
    <n v="160"/>
    <s v="151-350"/>
    <x v="1"/>
    <n v="115000"/>
    <n v="0.28000000000000003"/>
    <n v="0.18"/>
    <n v="147200"/>
    <n v="135700"/>
    <n v="-11500"/>
    <n v="3608166400"/>
    <n v="3492592320.0000005"/>
    <n v="24512"/>
    <n v="25737.600000000002"/>
    <n v="1225.6000000000022"/>
  </r>
  <r>
    <x v="25"/>
    <n v="2025"/>
    <x v="1"/>
    <s v="Bajaj"/>
    <x v="6"/>
    <n v="160"/>
    <s v="151-350"/>
    <x v="1"/>
    <n v="115000"/>
    <n v="0.28000000000000003"/>
    <n v="0.18"/>
    <n v="147200"/>
    <n v="135700"/>
    <n v="-11500"/>
    <n v="2760000000"/>
    <n v="2671593750"/>
    <n v="18750"/>
    <n v="19687.5"/>
    <n v="937.5"/>
  </r>
  <r>
    <x v="26"/>
    <n v="2025"/>
    <x v="2"/>
    <s v="Bajaj"/>
    <x v="6"/>
    <n v="160"/>
    <s v="151-350"/>
    <x v="1"/>
    <n v="115000"/>
    <n v="0.28000000000000003"/>
    <n v="0.18"/>
    <n v="147200"/>
    <n v="135700"/>
    <n v="-11500"/>
    <n v="2615302400"/>
    <n v="2531530995.0000005"/>
    <n v="17767"/>
    <n v="18655.350000000002"/>
    <n v="888.35000000000218"/>
  </r>
  <r>
    <x v="27"/>
    <n v="2025"/>
    <x v="3"/>
    <s v="Bajaj"/>
    <x v="6"/>
    <n v="160"/>
    <s v="151-350"/>
    <x v="1"/>
    <n v="115000"/>
    <n v="0.28000000000000003"/>
    <n v="0.18"/>
    <n v="147200"/>
    <n v="135700"/>
    <n v="-11500"/>
    <n v="3655270400"/>
    <n v="3538187520.0000005"/>
    <n v="24832"/>
    <n v="26073.600000000002"/>
    <n v="1241.6000000000022"/>
  </r>
  <r>
    <x v="28"/>
    <n v="2025"/>
    <x v="4"/>
    <s v="Bajaj"/>
    <x v="6"/>
    <n v="160"/>
    <s v="151-350"/>
    <x v="1"/>
    <n v="115000"/>
    <n v="0.28000000000000003"/>
    <n v="0.18"/>
    <n v="147200"/>
    <n v="135700"/>
    <n v="-11500"/>
    <n v="3296691200"/>
    <n v="3191094060"/>
    <n v="22396"/>
    <n v="23515.8"/>
    <n v="1119.7999999999993"/>
  </r>
  <r>
    <x v="29"/>
    <n v="2025"/>
    <x v="5"/>
    <s v="Bajaj"/>
    <x v="6"/>
    <n v="160"/>
    <s v="151-350"/>
    <x v="1"/>
    <n v="115000"/>
    <n v="0.28000000000000003"/>
    <n v="0.18"/>
    <n v="147200"/>
    <n v="135700"/>
    <n v="-11500"/>
    <n v="2995814400"/>
    <n v="2899854720.0000005"/>
    <n v="20352"/>
    <n v="21369.600000000002"/>
    <n v="1017.6000000000022"/>
  </r>
  <r>
    <x v="30"/>
    <n v="2025"/>
    <x v="6"/>
    <s v="Bajaj"/>
    <x v="6"/>
    <n v="160"/>
    <s v="151-350"/>
    <x v="1"/>
    <n v="115000"/>
    <n v="0.28000000000000003"/>
    <n v="0.18"/>
    <n v="147200"/>
    <n v="135700"/>
    <n v="-11500"/>
    <n v="2613977600"/>
    <n v="2530248630"/>
    <n v="17758"/>
    <n v="18645.900000000001"/>
    <n v="887.90000000000146"/>
  </r>
  <r>
    <x v="31"/>
    <n v="2025"/>
    <x v="7"/>
    <s v="Bajaj"/>
    <x v="6"/>
    <n v="160"/>
    <s v="151-350"/>
    <x v="1"/>
    <n v="115000"/>
    <n v="0.28000000000000003"/>
    <n v="0.18"/>
    <n v="147200"/>
    <n v="135700"/>
    <n v="-11500"/>
    <n v="2448672000"/>
    <n v="2370237975"/>
    <n v="16635"/>
    <n v="17466.75"/>
    <n v="831.75"/>
  </r>
  <r>
    <x v="32"/>
    <n v="2025"/>
    <x v="8"/>
    <s v="Bajaj"/>
    <x v="6"/>
    <n v="160"/>
    <s v="151-350"/>
    <x v="1"/>
    <n v="115000"/>
    <n v="0.28000000000000003"/>
    <n v="0.18"/>
    <n v="147200"/>
    <n v="135700"/>
    <n v="-11500"/>
    <n v="2269971200"/>
    <n v="2197261185"/>
    <n v="15421"/>
    <n v="16192.050000000001"/>
    <n v="771.05000000000109"/>
  </r>
  <r>
    <x v="0"/>
    <n v="2023"/>
    <x v="0"/>
    <s v="Bajaj"/>
    <x v="7"/>
    <n v="199"/>
    <s v="151-350"/>
    <x v="1"/>
    <n v="140000"/>
    <n v="0.28000000000000003"/>
    <n v="0.18"/>
    <n v="179200"/>
    <n v="165200"/>
    <n v="-14000"/>
    <n v="6839168000"/>
    <n v="6620100900"/>
    <n v="38165"/>
    <n v="40073.25"/>
    <n v="1908.25"/>
  </r>
  <r>
    <x v="1"/>
    <n v="2023"/>
    <x v="1"/>
    <s v="Bajaj"/>
    <x v="7"/>
    <n v="199"/>
    <s v="151-350"/>
    <x v="1"/>
    <n v="140000"/>
    <n v="0.28000000000000003"/>
    <n v="0.18"/>
    <n v="179200"/>
    <n v="165200"/>
    <n v="-14000"/>
    <n v="5263820800"/>
    <n v="5095214040"/>
    <n v="29374"/>
    <n v="30842.7"/>
    <n v="1468.7000000000007"/>
  </r>
  <r>
    <x v="2"/>
    <n v="2023"/>
    <x v="2"/>
    <s v="Bajaj"/>
    <x v="7"/>
    <n v="199"/>
    <s v="151-350"/>
    <x v="1"/>
    <n v="140000"/>
    <n v="0.28000000000000003"/>
    <n v="0.18"/>
    <n v="179200"/>
    <n v="165200"/>
    <n v="-14000"/>
    <n v="7236812800"/>
    <n v="7005008640.000001"/>
    <n v="40384"/>
    <n v="42403.200000000004"/>
    <n v="2019.2000000000044"/>
  </r>
  <r>
    <x v="3"/>
    <n v="2023"/>
    <x v="3"/>
    <s v="Bajaj"/>
    <x v="7"/>
    <n v="199"/>
    <s v="151-350"/>
    <x v="1"/>
    <n v="140000"/>
    <n v="0.28000000000000003"/>
    <n v="0.18"/>
    <n v="179200"/>
    <n v="165200"/>
    <n v="-14000"/>
    <n v="7632307200"/>
    <n v="7387834860.000001"/>
    <n v="42591"/>
    <n v="44720.55"/>
    <n v="2129.5500000000029"/>
  </r>
  <r>
    <x v="4"/>
    <n v="2023"/>
    <x v="4"/>
    <s v="Bajaj"/>
    <x v="7"/>
    <n v="199"/>
    <s v="151-350"/>
    <x v="1"/>
    <n v="140000"/>
    <n v="0.28000000000000003"/>
    <n v="0.18"/>
    <n v="179200"/>
    <n v="165200"/>
    <n v="-14000"/>
    <n v="6955648000"/>
    <n v="6732849900"/>
    <n v="38815"/>
    <n v="40755.75"/>
    <n v="1940.75"/>
  </r>
  <r>
    <x v="5"/>
    <n v="2023"/>
    <x v="5"/>
    <s v="Bajaj"/>
    <x v="7"/>
    <n v="199"/>
    <s v="151-350"/>
    <x v="1"/>
    <n v="140000"/>
    <n v="0.28000000000000003"/>
    <n v="0.18"/>
    <n v="179200"/>
    <n v="165200"/>
    <n v="-14000"/>
    <n v="7198822400"/>
    <n v="6968235120"/>
    <n v="40172"/>
    <n v="42180.6"/>
    <n v="2008.5999999999985"/>
  </r>
  <r>
    <x v="6"/>
    <n v="2023"/>
    <x v="6"/>
    <s v="Bajaj"/>
    <x v="7"/>
    <n v="199"/>
    <s v="151-350"/>
    <x v="1"/>
    <n v="140000"/>
    <n v="0.28000000000000003"/>
    <n v="0.18"/>
    <n v="179200"/>
    <n v="165200"/>
    <n v="-14000"/>
    <n v="6411596800"/>
    <n v="6206225340.000001"/>
    <n v="35779"/>
    <n v="37567.950000000004"/>
    <n v="1788.9500000000044"/>
  </r>
  <r>
    <x v="7"/>
    <n v="2023"/>
    <x v="7"/>
    <s v="Bajaj"/>
    <x v="7"/>
    <n v="199"/>
    <s v="151-350"/>
    <x v="1"/>
    <n v="140000"/>
    <n v="0.28000000000000003"/>
    <n v="0.18"/>
    <n v="179200"/>
    <n v="165200"/>
    <n v="-14000"/>
    <n v="5034086400"/>
    <n v="4872838320"/>
    <n v="28092"/>
    <n v="29496.600000000002"/>
    <n v="1404.6000000000022"/>
  </r>
  <r>
    <x v="8"/>
    <n v="2023"/>
    <x v="8"/>
    <s v="Bajaj"/>
    <x v="7"/>
    <n v="199"/>
    <s v="151-350"/>
    <x v="1"/>
    <n v="140000"/>
    <n v="0.28000000000000003"/>
    <n v="0.18"/>
    <n v="179200"/>
    <n v="165200"/>
    <n v="-14000"/>
    <n v="5287296000"/>
    <n v="5117937300"/>
    <n v="29505"/>
    <n v="30980.25"/>
    <n v="1475.25"/>
  </r>
  <r>
    <x v="9"/>
    <n v="2023"/>
    <x v="9"/>
    <s v="Bajaj"/>
    <x v="7"/>
    <n v="199"/>
    <s v="151-350"/>
    <x v="1"/>
    <n v="140000"/>
    <n v="0.28000000000000003"/>
    <n v="0.18"/>
    <n v="179200"/>
    <n v="165200"/>
    <n v="-14000"/>
    <n v="5984025600"/>
    <n v="5792349780"/>
    <n v="33393"/>
    <n v="35062.65"/>
    <n v="1669.6500000000015"/>
  </r>
  <r>
    <x v="10"/>
    <n v="2023"/>
    <x v="10"/>
    <s v="Bajaj"/>
    <x v="7"/>
    <n v="199"/>
    <s v="151-350"/>
    <x v="1"/>
    <n v="140000"/>
    <n v="0.28000000000000003"/>
    <n v="0.18"/>
    <n v="179200"/>
    <n v="165200"/>
    <n v="-14000"/>
    <n v="6074700800"/>
    <n v="5880120540.000001"/>
    <n v="33899"/>
    <n v="35593.950000000004"/>
    <n v="1694.9500000000044"/>
  </r>
  <r>
    <x v="11"/>
    <n v="2023"/>
    <x v="11"/>
    <s v="Bajaj"/>
    <x v="7"/>
    <n v="199"/>
    <s v="151-350"/>
    <x v="1"/>
    <n v="140000"/>
    <n v="0.28000000000000003"/>
    <n v="0.18"/>
    <n v="179200"/>
    <n v="165200"/>
    <n v="-14000"/>
    <n v="5689241600"/>
    <n v="5507008080"/>
    <n v="31748"/>
    <n v="33335.4"/>
    <n v="1587.4000000000015"/>
  </r>
  <r>
    <x v="12"/>
    <n v="2024"/>
    <x v="0"/>
    <s v="Bajaj"/>
    <x v="7"/>
    <n v="199"/>
    <s v="151-350"/>
    <x v="1"/>
    <n v="140000"/>
    <n v="0.28000000000000003"/>
    <n v="0.18"/>
    <n v="179200"/>
    <n v="165200"/>
    <n v="-14000"/>
    <n v="6646707200"/>
    <n v="6433804860.000001"/>
    <n v="37091"/>
    <n v="38945.550000000003"/>
    <n v="1854.5500000000029"/>
  </r>
  <r>
    <x v="13"/>
    <n v="2024"/>
    <x v="1"/>
    <s v="Bajaj"/>
    <x v="7"/>
    <n v="199"/>
    <s v="151-350"/>
    <x v="1"/>
    <n v="140000"/>
    <n v="0.28000000000000003"/>
    <n v="0.18"/>
    <n v="179200"/>
    <n v="165200"/>
    <n v="-14000"/>
    <n v="6049971200"/>
    <n v="5856183060.000001"/>
    <n v="33761"/>
    <n v="35449.050000000003"/>
    <n v="1688.0500000000029"/>
  </r>
  <r>
    <x v="14"/>
    <n v="2024"/>
    <x v="2"/>
    <s v="Bajaj"/>
    <x v="7"/>
    <n v="199"/>
    <s v="151-350"/>
    <x v="1"/>
    <n v="140000"/>
    <n v="0.28000000000000003"/>
    <n v="0.18"/>
    <n v="179200"/>
    <n v="165200"/>
    <n v="-14000"/>
    <n v="6856908800"/>
    <n v="6637273440.000001"/>
    <n v="38264"/>
    <n v="40177.200000000004"/>
    <n v="1913.2000000000044"/>
  </r>
  <r>
    <x v="15"/>
    <n v="2024"/>
    <x v="3"/>
    <s v="Bajaj"/>
    <x v="7"/>
    <n v="199"/>
    <s v="151-350"/>
    <x v="1"/>
    <n v="140000"/>
    <n v="0.28000000000000003"/>
    <n v="0.18"/>
    <n v="179200"/>
    <n v="165200"/>
    <n v="-14000"/>
    <n v="6376294400"/>
    <n v="6172053720"/>
    <n v="35582"/>
    <n v="37361.1"/>
    <n v="1779.0999999999985"/>
  </r>
  <r>
    <x v="16"/>
    <n v="2024"/>
    <x v="4"/>
    <s v="Bajaj"/>
    <x v="7"/>
    <n v="199"/>
    <s v="151-350"/>
    <x v="1"/>
    <n v="140000"/>
    <n v="0.28000000000000003"/>
    <n v="0.18"/>
    <n v="179200"/>
    <n v="165200"/>
    <n v="-14000"/>
    <n v="6418406400"/>
    <n v="6212816820"/>
    <n v="35817"/>
    <n v="37607.85"/>
    <n v="1790.8499999999985"/>
  </r>
  <r>
    <x v="17"/>
    <n v="2024"/>
    <x v="5"/>
    <s v="Bajaj"/>
    <x v="7"/>
    <n v="199"/>
    <s v="151-350"/>
    <x v="1"/>
    <n v="140000"/>
    <n v="0.28000000000000003"/>
    <n v="0.18"/>
    <n v="179200"/>
    <n v="165200"/>
    <n v="-14000"/>
    <n v="6588288000"/>
    <n v="6377256900"/>
    <n v="36765"/>
    <n v="38603.25"/>
    <n v="1838.25"/>
  </r>
  <r>
    <x v="18"/>
    <n v="2024"/>
    <x v="6"/>
    <s v="Bajaj"/>
    <x v="7"/>
    <n v="199"/>
    <s v="151-350"/>
    <x v="1"/>
    <n v="140000"/>
    <n v="0.28000000000000003"/>
    <n v="0.18"/>
    <n v="179200"/>
    <n v="165200"/>
    <n v="-14000"/>
    <n v="5552153600"/>
    <n v="5374311180"/>
    <n v="30983"/>
    <n v="32532.15"/>
    <n v="1549.1500000000015"/>
  </r>
  <r>
    <x v="19"/>
    <n v="2024"/>
    <x v="7"/>
    <s v="Bajaj"/>
    <x v="7"/>
    <n v="199"/>
    <s v="151-350"/>
    <x v="1"/>
    <n v="140000"/>
    <n v="0.28000000000000003"/>
    <n v="0.18"/>
    <n v="179200"/>
    <n v="165200"/>
    <n v="-14000"/>
    <n v="6023628800"/>
    <n v="5830684440.000001"/>
    <n v="33614"/>
    <n v="35294.700000000004"/>
    <n v="1680.7000000000044"/>
  </r>
  <r>
    <x v="20"/>
    <n v="2024"/>
    <x v="8"/>
    <s v="Bajaj"/>
    <x v="7"/>
    <n v="199"/>
    <s v="151-350"/>
    <x v="1"/>
    <n v="140000"/>
    <n v="0.28000000000000003"/>
    <n v="0.18"/>
    <n v="179200"/>
    <n v="165200"/>
    <n v="-14000"/>
    <n v="5449113600"/>
    <n v="5274571680"/>
    <n v="30408"/>
    <n v="31928.400000000001"/>
    <n v="1520.4000000000015"/>
  </r>
  <r>
    <x v="21"/>
    <n v="2024"/>
    <x v="9"/>
    <s v="Bajaj"/>
    <x v="7"/>
    <n v="199"/>
    <s v="151-350"/>
    <x v="1"/>
    <n v="140000"/>
    <n v="0.28000000000000003"/>
    <n v="0.18"/>
    <n v="179200"/>
    <n v="165200"/>
    <n v="-14000"/>
    <n v="4862592000"/>
    <n v="4706837100"/>
    <n v="27135"/>
    <n v="28491.75"/>
    <n v="1356.75"/>
  </r>
  <r>
    <x v="22"/>
    <n v="2024"/>
    <x v="10"/>
    <s v="Bajaj"/>
    <x v="7"/>
    <n v="199"/>
    <s v="151-350"/>
    <x v="1"/>
    <n v="140000"/>
    <n v="0.28000000000000003"/>
    <n v="0.18"/>
    <n v="179200"/>
    <n v="165200"/>
    <n v="-14000"/>
    <n v="5961804800"/>
    <n v="5770840740.000001"/>
    <n v="33269"/>
    <n v="34932.450000000004"/>
    <n v="1663.4500000000044"/>
  </r>
  <r>
    <x v="23"/>
    <n v="2024"/>
    <x v="11"/>
    <s v="Bajaj"/>
    <x v="7"/>
    <n v="199"/>
    <s v="151-350"/>
    <x v="1"/>
    <n v="140000"/>
    <n v="0.28000000000000003"/>
    <n v="0.18"/>
    <n v="179200"/>
    <n v="165200"/>
    <n v="-14000"/>
    <n v="6318233600"/>
    <n v="6115852680"/>
    <n v="35258"/>
    <n v="37020.9"/>
    <n v="1762.9000000000015"/>
  </r>
  <r>
    <x v="24"/>
    <n v="2025"/>
    <x v="0"/>
    <s v="Bajaj"/>
    <x v="7"/>
    <n v="199"/>
    <s v="151-350"/>
    <x v="1"/>
    <n v="140000"/>
    <n v="0.28000000000000003"/>
    <n v="0.18"/>
    <n v="179200"/>
    <n v="165200"/>
    <n v="-14000"/>
    <n v="7372288000"/>
    <n v="7136144400"/>
    <n v="41140"/>
    <n v="43197"/>
    <n v="2057"/>
  </r>
  <r>
    <x v="25"/>
    <n v="2025"/>
    <x v="1"/>
    <s v="Bajaj"/>
    <x v="7"/>
    <n v="199"/>
    <s v="151-350"/>
    <x v="1"/>
    <n v="140000"/>
    <n v="0.28000000000000003"/>
    <n v="0.18"/>
    <n v="179200"/>
    <n v="165200"/>
    <n v="-14000"/>
    <n v="6633267200"/>
    <n v="6420795360.000001"/>
    <n v="37016"/>
    <n v="38866.800000000003"/>
    <n v="1850.8000000000029"/>
  </r>
  <r>
    <x v="26"/>
    <n v="2025"/>
    <x v="2"/>
    <s v="Bajaj"/>
    <x v="7"/>
    <n v="199"/>
    <s v="151-350"/>
    <x v="1"/>
    <n v="140000"/>
    <n v="0.28000000000000003"/>
    <n v="0.18"/>
    <n v="179200"/>
    <n v="165200"/>
    <n v="-14000"/>
    <n v="7606144000"/>
    <n v="7362509700"/>
    <n v="42445"/>
    <n v="44567.25"/>
    <n v="2122.25"/>
  </r>
  <r>
    <x v="27"/>
    <n v="2025"/>
    <x v="3"/>
    <s v="Bajaj"/>
    <x v="7"/>
    <n v="199"/>
    <s v="151-350"/>
    <x v="1"/>
    <n v="140000"/>
    <n v="0.28000000000000003"/>
    <n v="0.18"/>
    <n v="179200"/>
    <n v="165200"/>
    <n v="-14000"/>
    <n v="6877516800"/>
    <n v="6657221340.000001"/>
    <n v="38379"/>
    <n v="40297.950000000004"/>
    <n v="1918.9500000000044"/>
  </r>
  <r>
    <x v="28"/>
    <n v="2025"/>
    <x v="4"/>
    <s v="Bajaj"/>
    <x v="7"/>
    <n v="199"/>
    <s v="151-350"/>
    <x v="1"/>
    <n v="140000"/>
    <n v="0.28000000000000003"/>
    <n v="0.18"/>
    <n v="179200"/>
    <n v="165200"/>
    <n v="-14000"/>
    <n v="9032038400"/>
    <n v="8742730920.0000019"/>
    <n v="50402"/>
    <n v="52922.100000000006"/>
    <n v="2520.1000000000058"/>
  </r>
  <r>
    <x v="29"/>
    <n v="2025"/>
    <x v="5"/>
    <s v="Bajaj"/>
    <x v="7"/>
    <n v="199"/>
    <s v="151-350"/>
    <x v="1"/>
    <n v="140000"/>
    <n v="0.28000000000000003"/>
    <n v="0.18"/>
    <n v="179200"/>
    <n v="165200"/>
    <n v="-14000"/>
    <n v="6244403200"/>
    <n v="6044387160.000001"/>
    <n v="34846"/>
    <n v="36588.300000000003"/>
    <n v="1742.3000000000029"/>
  </r>
  <r>
    <x v="30"/>
    <n v="2025"/>
    <x v="6"/>
    <s v="Bajaj"/>
    <x v="7"/>
    <n v="199"/>
    <s v="151-350"/>
    <x v="1"/>
    <n v="140000"/>
    <n v="0.28000000000000003"/>
    <n v="0.18"/>
    <n v="179200"/>
    <n v="165200"/>
    <n v="-14000"/>
    <n v="5501260800"/>
    <n v="5325048540"/>
    <n v="30699"/>
    <n v="32233.95"/>
    <n v="1534.9500000000007"/>
  </r>
  <r>
    <x v="31"/>
    <n v="2025"/>
    <x v="7"/>
    <s v="Bajaj"/>
    <x v="7"/>
    <n v="199"/>
    <s v="151-350"/>
    <x v="1"/>
    <n v="140000"/>
    <n v="0.28000000000000003"/>
    <n v="0.18"/>
    <n v="179200"/>
    <n v="165200"/>
    <n v="-14000"/>
    <n v="6766950400"/>
    <n v="6550196520"/>
    <n v="37762"/>
    <n v="39650.1"/>
    <n v="1888.0999999999985"/>
  </r>
  <r>
    <x v="32"/>
    <n v="2025"/>
    <x v="8"/>
    <s v="Bajaj"/>
    <x v="7"/>
    <n v="199"/>
    <s v="151-350"/>
    <x v="1"/>
    <n v="140000"/>
    <n v="0.28000000000000003"/>
    <n v="0.18"/>
    <n v="179200"/>
    <n v="165200"/>
    <n v="-14000"/>
    <n v="4754176000"/>
    <n v="4601893800"/>
    <n v="26530"/>
    <n v="27856.5"/>
    <n v="1326.5"/>
  </r>
  <r>
    <x v="0"/>
    <n v="2023"/>
    <x v="0"/>
    <s v="Bajaj"/>
    <x v="8"/>
    <n v="199"/>
    <s v="151-350"/>
    <x v="1"/>
    <n v="165000"/>
    <n v="0.28000000000000003"/>
    <n v="0.18"/>
    <n v="211200"/>
    <n v="194700"/>
    <n v="-16500"/>
    <n v="4325164800"/>
    <n v="4186624365"/>
    <n v="20479"/>
    <n v="21502.95"/>
    <n v="1023.9500000000007"/>
  </r>
  <r>
    <x v="1"/>
    <n v="2023"/>
    <x v="1"/>
    <s v="Bajaj"/>
    <x v="8"/>
    <n v="199"/>
    <s v="151-350"/>
    <x v="1"/>
    <n v="165000"/>
    <n v="0.28000000000000003"/>
    <n v="0.18"/>
    <n v="211200"/>
    <n v="194700"/>
    <n v="-16500"/>
    <n v="4660339200"/>
    <n v="4511062710"/>
    <n v="22066"/>
    <n v="23169.3"/>
    <n v="1103.2999999999993"/>
  </r>
  <r>
    <x v="2"/>
    <n v="2023"/>
    <x v="2"/>
    <s v="Bajaj"/>
    <x v="8"/>
    <n v="199"/>
    <s v="151-350"/>
    <x v="1"/>
    <n v="165000"/>
    <n v="0.28000000000000003"/>
    <n v="0.18"/>
    <n v="211200"/>
    <n v="194700"/>
    <n v="-16500"/>
    <n v="4688428800"/>
    <n v="4538252565"/>
    <n v="22199"/>
    <n v="23308.95"/>
    <n v="1109.9500000000007"/>
  </r>
  <r>
    <x v="3"/>
    <n v="2023"/>
    <x v="3"/>
    <s v="Bajaj"/>
    <x v="8"/>
    <n v="199"/>
    <s v="151-350"/>
    <x v="1"/>
    <n v="165000"/>
    <n v="0.28000000000000003"/>
    <n v="0.18"/>
    <n v="211200"/>
    <n v="194700"/>
    <n v="-16500"/>
    <n v="4665830400"/>
    <n v="4516378020"/>
    <n v="22092"/>
    <n v="23196.600000000002"/>
    <n v="1104.6000000000022"/>
  </r>
  <r>
    <x v="4"/>
    <n v="2023"/>
    <x v="4"/>
    <s v="Bajaj"/>
    <x v="8"/>
    <n v="199"/>
    <s v="151-350"/>
    <x v="1"/>
    <n v="165000"/>
    <n v="0.28000000000000003"/>
    <n v="0.18"/>
    <n v="211200"/>
    <n v="194700"/>
    <n v="-16500"/>
    <n v="5383065600"/>
    <n v="5210639280"/>
    <n v="25488"/>
    <n v="26762.400000000001"/>
    <n v="1274.4000000000015"/>
  </r>
  <r>
    <x v="5"/>
    <n v="2023"/>
    <x v="5"/>
    <s v="Bajaj"/>
    <x v="8"/>
    <n v="199"/>
    <s v="151-350"/>
    <x v="1"/>
    <n v="165000"/>
    <n v="0.28000000000000003"/>
    <n v="0.18"/>
    <n v="211200"/>
    <n v="194700"/>
    <n v="-16500"/>
    <n v="3937190400"/>
    <n v="3811077270.0000005"/>
    <n v="18642"/>
    <n v="19574.100000000002"/>
    <n v="932.10000000000218"/>
  </r>
  <r>
    <x v="6"/>
    <n v="2023"/>
    <x v="6"/>
    <s v="Bajaj"/>
    <x v="8"/>
    <n v="199"/>
    <s v="151-350"/>
    <x v="1"/>
    <n v="165000"/>
    <n v="0.28000000000000003"/>
    <n v="0.18"/>
    <n v="211200"/>
    <n v="194700"/>
    <n v="-16500"/>
    <n v="3450374400"/>
    <n v="3339854595.0000005"/>
    <n v="16337"/>
    <n v="17153.850000000002"/>
    <n v="816.85000000000218"/>
  </r>
  <r>
    <x v="7"/>
    <n v="2023"/>
    <x v="7"/>
    <s v="Bajaj"/>
    <x v="8"/>
    <n v="199"/>
    <s v="151-350"/>
    <x v="1"/>
    <n v="165000"/>
    <n v="0.28000000000000003"/>
    <n v="0.18"/>
    <n v="211200"/>
    <n v="194700"/>
    <n v="-16500"/>
    <n v="3644889600"/>
    <n v="3528139230.0000005"/>
    <n v="17258"/>
    <n v="18120.900000000001"/>
    <n v="862.90000000000146"/>
  </r>
  <r>
    <x v="8"/>
    <n v="2023"/>
    <x v="8"/>
    <s v="Bajaj"/>
    <x v="8"/>
    <n v="199"/>
    <s v="151-350"/>
    <x v="1"/>
    <n v="165000"/>
    <n v="0.28000000000000003"/>
    <n v="0.18"/>
    <n v="211200"/>
    <n v="194700"/>
    <n v="-16500"/>
    <n v="3108230400"/>
    <n v="3008669895"/>
    <n v="14717"/>
    <n v="15452.85"/>
    <n v="735.85000000000036"/>
  </r>
  <r>
    <x v="9"/>
    <n v="2023"/>
    <x v="9"/>
    <s v="Bajaj"/>
    <x v="8"/>
    <n v="199"/>
    <s v="151-350"/>
    <x v="1"/>
    <n v="165000"/>
    <n v="0.28000000000000003"/>
    <n v="0.18"/>
    <n v="211200"/>
    <n v="194700"/>
    <n v="-16500"/>
    <n v="3592934400"/>
    <n v="3477848220.0000005"/>
    <n v="17012"/>
    <n v="17862.600000000002"/>
    <n v="850.60000000000218"/>
  </r>
  <r>
    <x v="10"/>
    <n v="2023"/>
    <x v="10"/>
    <s v="Bajaj"/>
    <x v="8"/>
    <n v="199"/>
    <s v="151-350"/>
    <x v="1"/>
    <n v="165000"/>
    <n v="0.28000000000000003"/>
    <n v="0.18"/>
    <n v="211200"/>
    <n v="194700"/>
    <n v="-16500"/>
    <n v="3306336000"/>
    <n v="3200429925"/>
    <n v="15655"/>
    <n v="16437.75"/>
    <n v="782.75"/>
  </r>
  <r>
    <x v="11"/>
    <n v="2023"/>
    <x v="11"/>
    <s v="Bajaj"/>
    <x v="8"/>
    <n v="199"/>
    <s v="151-350"/>
    <x v="1"/>
    <n v="165000"/>
    <n v="0.28000000000000003"/>
    <n v="0.18"/>
    <n v="211200"/>
    <n v="194700"/>
    <n v="-16500"/>
    <n v="4475961600"/>
    <n v="4332590955"/>
    <n v="21193"/>
    <n v="22252.65"/>
    <n v="1059.6500000000015"/>
  </r>
  <r>
    <x v="12"/>
    <n v="2024"/>
    <x v="0"/>
    <s v="Bajaj"/>
    <x v="8"/>
    <n v="199"/>
    <s v="151-350"/>
    <x v="1"/>
    <n v="165000"/>
    <n v="0.28000000000000003"/>
    <n v="0.18"/>
    <n v="211200"/>
    <n v="194700"/>
    <n v="-16500"/>
    <n v="4897305600"/>
    <n v="4740438780"/>
    <n v="23188"/>
    <n v="24347.4"/>
    <n v="1159.4000000000015"/>
  </r>
  <r>
    <x v="13"/>
    <n v="2024"/>
    <x v="1"/>
    <s v="Bajaj"/>
    <x v="8"/>
    <n v="199"/>
    <s v="151-350"/>
    <x v="1"/>
    <n v="165000"/>
    <n v="0.28000000000000003"/>
    <n v="0.18"/>
    <n v="211200"/>
    <n v="194700"/>
    <n v="-16500"/>
    <n v="5696908800"/>
    <n v="5514429690"/>
    <n v="26974"/>
    <n v="28322.7"/>
    <n v="1348.7000000000007"/>
  </r>
  <r>
    <x v="14"/>
    <n v="2024"/>
    <x v="2"/>
    <s v="Bajaj"/>
    <x v="8"/>
    <n v="199"/>
    <s v="151-350"/>
    <x v="1"/>
    <n v="165000"/>
    <n v="0.28000000000000003"/>
    <n v="0.18"/>
    <n v="211200"/>
    <n v="194700"/>
    <n v="-16500"/>
    <n v="5074502400"/>
    <n v="4911959745"/>
    <n v="24027"/>
    <n v="25228.350000000002"/>
    <n v="1201.3500000000022"/>
  </r>
  <r>
    <x v="15"/>
    <n v="2024"/>
    <x v="3"/>
    <s v="Bajaj"/>
    <x v="8"/>
    <n v="199"/>
    <s v="151-350"/>
    <x v="1"/>
    <n v="165000"/>
    <n v="0.28000000000000003"/>
    <n v="0.18"/>
    <n v="211200"/>
    <n v="194700"/>
    <n v="-16500"/>
    <n v="5382432000"/>
    <n v="5210025975"/>
    <n v="25485"/>
    <n v="26759.25"/>
    <n v="1274.25"/>
  </r>
  <r>
    <x v="16"/>
    <n v="2024"/>
    <x v="4"/>
    <s v="Bajaj"/>
    <x v="8"/>
    <n v="199"/>
    <s v="151-350"/>
    <x v="1"/>
    <n v="165000"/>
    <n v="0.28000000000000003"/>
    <n v="0.18"/>
    <n v="211200"/>
    <n v="194700"/>
    <n v="-16500"/>
    <n v="4157472000"/>
    <n v="4024302975"/>
    <n v="19685"/>
    <n v="20669.25"/>
    <n v="984.25"/>
  </r>
  <r>
    <x v="17"/>
    <n v="2024"/>
    <x v="5"/>
    <s v="Bajaj"/>
    <x v="8"/>
    <n v="199"/>
    <s v="151-350"/>
    <x v="1"/>
    <n v="165000"/>
    <n v="0.28000000000000003"/>
    <n v="0.18"/>
    <n v="211200"/>
    <n v="194700"/>
    <n v="-16500"/>
    <n v="4867737600"/>
    <n v="4711817880"/>
    <n v="23048"/>
    <n v="24200.400000000001"/>
    <n v="1152.4000000000015"/>
  </r>
  <r>
    <x v="18"/>
    <n v="2024"/>
    <x v="6"/>
    <s v="Bajaj"/>
    <x v="8"/>
    <n v="199"/>
    <s v="151-350"/>
    <x v="1"/>
    <n v="165000"/>
    <n v="0.28000000000000003"/>
    <n v="0.18"/>
    <n v="211200"/>
    <n v="194700"/>
    <n v="-16500"/>
    <n v="4060531200"/>
    <n v="3930467310"/>
    <n v="19226"/>
    <n v="20187.3"/>
    <n v="961.29999999999927"/>
  </r>
  <r>
    <x v="19"/>
    <n v="2024"/>
    <x v="7"/>
    <s v="Bajaj"/>
    <x v="8"/>
    <n v="199"/>
    <s v="151-350"/>
    <x v="1"/>
    <n v="165000"/>
    <n v="0.28000000000000003"/>
    <n v="0.18"/>
    <n v="211200"/>
    <n v="194700"/>
    <n v="-16500"/>
    <n v="3522182400"/>
    <n v="3409362495.0000005"/>
    <n v="16677"/>
    <n v="17510.850000000002"/>
    <n v="833.85000000000218"/>
  </r>
  <r>
    <x v="20"/>
    <n v="2024"/>
    <x v="8"/>
    <s v="Bajaj"/>
    <x v="8"/>
    <n v="199"/>
    <s v="151-350"/>
    <x v="1"/>
    <n v="165000"/>
    <n v="0.28000000000000003"/>
    <n v="0.18"/>
    <n v="211200"/>
    <n v="194700"/>
    <n v="-16500"/>
    <n v="3345408000"/>
    <n v="3238250400"/>
    <n v="15840"/>
    <n v="16632"/>
    <n v="792"/>
  </r>
  <r>
    <x v="21"/>
    <n v="2024"/>
    <x v="9"/>
    <s v="Bajaj"/>
    <x v="8"/>
    <n v="199"/>
    <s v="151-350"/>
    <x v="1"/>
    <n v="165000"/>
    <n v="0.28000000000000003"/>
    <n v="0.18"/>
    <n v="211200"/>
    <n v="194700"/>
    <n v="-16500"/>
    <n v="3390604800"/>
    <n v="3281999490"/>
    <n v="16054"/>
    <n v="16856.7"/>
    <n v="802.70000000000073"/>
  </r>
  <r>
    <x v="22"/>
    <n v="2024"/>
    <x v="10"/>
    <s v="Bajaj"/>
    <x v="8"/>
    <n v="199"/>
    <s v="151-350"/>
    <x v="1"/>
    <n v="165000"/>
    <n v="0.28000000000000003"/>
    <n v="0.18"/>
    <n v="211200"/>
    <n v="194700"/>
    <n v="-16500"/>
    <n v="3879321600"/>
    <n v="3755062080.0000005"/>
    <n v="18368"/>
    <n v="19286.400000000001"/>
    <n v="918.40000000000146"/>
  </r>
  <r>
    <x v="23"/>
    <n v="2024"/>
    <x v="11"/>
    <s v="Bajaj"/>
    <x v="8"/>
    <n v="199"/>
    <s v="151-350"/>
    <x v="1"/>
    <n v="165000"/>
    <n v="0.28000000000000003"/>
    <n v="0.18"/>
    <n v="211200"/>
    <n v="194700"/>
    <n v="-16500"/>
    <n v="4528550400"/>
    <n v="4383495270"/>
    <n v="21442"/>
    <n v="22514.100000000002"/>
    <n v="1072.1000000000022"/>
  </r>
  <r>
    <x v="24"/>
    <n v="2025"/>
    <x v="0"/>
    <s v="Bajaj"/>
    <x v="8"/>
    <n v="199"/>
    <s v="151-350"/>
    <x v="1"/>
    <n v="165000"/>
    <n v="0.28000000000000003"/>
    <n v="0.18"/>
    <n v="211200"/>
    <n v="194700"/>
    <n v="-16500"/>
    <n v="4501728000"/>
    <n v="4357532025"/>
    <n v="21315"/>
    <n v="22380.75"/>
    <n v="1065.75"/>
  </r>
  <r>
    <x v="25"/>
    <n v="2025"/>
    <x v="1"/>
    <s v="Bajaj"/>
    <x v="8"/>
    <n v="199"/>
    <s v="151-350"/>
    <x v="1"/>
    <n v="165000"/>
    <n v="0.28000000000000003"/>
    <n v="0.18"/>
    <n v="211200"/>
    <n v="194700"/>
    <n v="-16500"/>
    <n v="5767238400"/>
    <n v="5582506545"/>
    <n v="27307"/>
    <n v="28672.350000000002"/>
    <n v="1365.3500000000022"/>
  </r>
  <r>
    <x v="26"/>
    <n v="2025"/>
    <x v="2"/>
    <s v="Bajaj"/>
    <x v="8"/>
    <n v="199"/>
    <s v="151-350"/>
    <x v="1"/>
    <n v="165000"/>
    <n v="0.28000000000000003"/>
    <n v="0.18"/>
    <n v="211200"/>
    <n v="194700"/>
    <n v="-16500"/>
    <n v="4199289600"/>
    <n v="4064781105.0000005"/>
    <n v="19883"/>
    <n v="20877.150000000001"/>
    <n v="994.15000000000146"/>
  </r>
  <r>
    <x v="27"/>
    <n v="2025"/>
    <x v="3"/>
    <s v="Bajaj"/>
    <x v="8"/>
    <n v="199"/>
    <s v="151-350"/>
    <x v="1"/>
    <n v="165000"/>
    <n v="0.28000000000000003"/>
    <n v="0.18"/>
    <n v="211200"/>
    <n v="194700"/>
    <n v="-16500"/>
    <n v="4296019200"/>
    <n v="4158412335"/>
    <n v="20341"/>
    <n v="21358.05"/>
    <n v="1017.0499999999993"/>
  </r>
  <r>
    <x v="28"/>
    <n v="2025"/>
    <x v="4"/>
    <s v="Bajaj"/>
    <x v="8"/>
    <n v="199"/>
    <s v="151-350"/>
    <x v="1"/>
    <n v="165000"/>
    <n v="0.28000000000000003"/>
    <n v="0.18"/>
    <n v="211200"/>
    <n v="194700"/>
    <n v="-16500"/>
    <n v="3987244800"/>
    <n v="3859528365"/>
    <n v="18879"/>
    <n v="19822.95"/>
    <n v="943.95000000000073"/>
  </r>
  <r>
    <x v="29"/>
    <n v="2025"/>
    <x v="5"/>
    <s v="Bajaj"/>
    <x v="8"/>
    <n v="199"/>
    <s v="151-350"/>
    <x v="1"/>
    <n v="165000"/>
    <n v="0.28000000000000003"/>
    <n v="0.18"/>
    <n v="211200"/>
    <n v="194700"/>
    <n v="-16500"/>
    <n v="4405843200"/>
    <n v="4264718535"/>
    <n v="20861"/>
    <n v="21904.05"/>
    <n v="1043.0499999999993"/>
  </r>
  <r>
    <x v="30"/>
    <n v="2025"/>
    <x v="6"/>
    <s v="Bajaj"/>
    <x v="8"/>
    <n v="199"/>
    <s v="151-350"/>
    <x v="1"/>
    <n v="165000"/>
    <n v="0.28000000000000003"/>
    <n v="0.18"/>
    <n v="211200"/>
    <n v="194700"/>
    <n v="-16500"/>
    <n v="3235584000"/>
    <n v="3131944200"/>
    <n v="15320"/>
    <n v="16086"/>
    <n v="766"/>
  </r>
  <r>
    <x v="31"/>
    <n v="2025"/>
    <x v="7"/>
    <s v="Bajaj"/>
    <x v="8"/>
    <n v="199"/>
    <s v="151-350"/>
    <x v="1"/>
    <n v="165000"/>
    <n v="0.28000000000000003"/>
    <n v="0.18"/>
    <n v="211200"/>
    <n v="194700"/>
    <n v="-16500"/>
    <n v="3798220800"/>
    <n v="3676559040"/>
    <n v="17984"/>
    <n v="18883.2"/>
    <n v="899.20000000000073"/>
  </r>
  <r>
    <x v="32"/>
    <n v="2025"/>
    <x v="8"/>
    <s v="Bajaj"/>
    <x v="8"/>
    <n v="199"/>
    <s v="151-350"/>
    <x v="1"/>
    <n v="165000"/>
    <n v="0.28000000000000003"/>
    <n v="0.18"/>
    <n v="211200"/>
    <n v="194700"/>
    <n v="-16500"/>
    <n v="3184262400"/>
    <n v="3082266495"/>
    <n v="15077"/>
    <n v="15830.85"/>
    <n v="753.85000000000036"/>
  </r>
  <r>
    <x v="0"/>
    <n v="2023"/>
    <x v="0"/>
    <s v="Bajaj"/>
    <x v="9"/>
    <n v="220"/>
    <s v="151-350"/>
    <x v="1"/>
    <n v="140000"/>
    <n v="0.28000000000000003"/>
    <n v="0.18"/>
    <n v="179200"/>
    <n v="165200"/>
    <n v="-14000"/>
    <n v="7121049600"/>
    <n v="6892953480"/>
    <n v="39738"/>
    <n v="41724.9"/>
    <n v="1986.9000000000015"/>
  </r>
  <r>
    <x v="1"/>
    <n v="2023"/>
    <x v="1"/>
    <s v="Bajaj"/>
    <x v="9"/>
    <n v="220"/>
    <s v="151-350"/>
    <x v="1"/>
    <n v="140000"/>
    <n v="0.28000000000000003"/>
    <n v="0.18"/>
    <n v="179200"/>
    <n v="165200"/>
    <n v="-14000"/>
    <n v="7988377600"/>
    <n v="7732499880"/>
    <n v="44578"/>
    <n v="46806.9"/>
    <n v="2228.9000000000015"/>
  </r>
  <r>
    <x v="2"/>
    <n v="2023"/>
    <x v="2"/>
    <s v="Bajaj"/>
    <x v="9"/>
    <n v="220"/>
    <s v="151-350"/>
    <x v="1"/>
    <n v="140000"/>
    <n v="0.28000000000000003"/>
    <n v="0.18"/>
    <n v="179200"/>
    <n v="165200"/>
    <n v="-14000"/>
    <n v="7508838400"/>
    <n v="7268320920"/>
    <n v="41902"/>
    <n v="43997.1"/>
    <n v="2095.0999999999985"/>
  </r>
  <r>
    <x v="3"/>
    <n v="2023"/>
    <x v="3"/>
    <s v="Bajaj"/>
    <x v="9"/>
    <n v="220"/>
    <s v="151-350"/>
    <x v="1"/>
    <n v="140000"/>
    <n v="0.28000000000000003"/>
    <n v="0.18"/>
    <n v="179200"/>
    <n v="165200"/>
    <n v="-14000"/>
    <n v="7705958400"/>
    <n v="7459126920"/>
    <n v="43002"/>
    <n v="45152.1"/>
    <n v="2150.0999999999985"/>
  </r>
  <r>
    <x v="4"/>
    <n v="2023"/>
    <x v="4"/>
    <s v="Bajaj"/>
    <x v="9"/>
    <n v="220"/>
    <s v="151-350"/>
    <x v="1"/>
    <n v="140000"/>
    <n v="0.28000000000000003"/>
    <n v="0.18"/>
    <n v="179200"/>
    <n v="165200"/>
    <n v="-14000"/>
    <n v="7073382400"/>
    <n v="6846813120"/>
    <n v="39472"/>
    <n v="41445.599999999999"/>
    <n v="1973.5999999999985"/>
  </r>
  <r>
    <x v="5"/>
    <n v="2023"/>
    <x v="5"/>
    <s v="Bajaj"/>
    <x v="9"/>
    <n v="220"/>
    <s v="151-350"/>
    <x v="1"/>
    <n v="140000"/>
    <n v="0.28000000000000003"/>
    <n v="0.18"/>
    <n v="179200"/>
    <n v="165200"/>
    <n v="-14000"/>
    <n v="7955404800"/>
    <n v="7700583240.000001"/>
    <n v="44394"/>
    <n v="46613.700000000004"/>
    <n v="2219.7000000000044"/>
  </r>
  <r>
    <x v="6"/>
    <n v="2023"/>
    <x v="6"/>
    <s v="Bajaj"/>
    <x v="9"/>
    <n v="220"/>
    <s v="151-350"/>
    <x v="1"/>
    <n v="140000"/>
    <n v="0.28000000000000003"/>
    <n v="0.18"/>
    <n v="179200"/>
    <n v="165200"/>
    <n v="-14000"/>
    <n v="6386329600"/>
    <n v="6181767480"/>
    <n v="35638"/>
    <n v="37419.9"/>
    <n v="1781.9000000000015"/>
  </r>
  <r>
    <x v="7"/>
    <n v="2023"/>
    <x v="7"/>
    <s v="Bajaj"/>
    <x v="9"/>
    <n v="220"/>
    <s v="151-350"/>
    <x v="1"/>
    <n v="140000"/>
    <n v="0.28000000000000003"/>
    <n v="0.18"/>
    <n v="179200"/>
    <n v="165200"/>
    <n v="-14000"/>
    <n v="6800819200"/>
    <n v="6582980460.000001"/>
    <n v="37951"/>
    <n v="39848.550000000003"/>
    <n v="1897.5500000000029"/>
  </r>
  <r>
    <x v="8"/>
    <n v="2023"/>
    <x v="8"/>
    <s v="Bajaj"/>
    <x v="9"/>
    <n v="220"/>
    <s v="151-350"/>
    <x v="1"/>
    <n v="140000"/>
    <n v="0.28000000000000003"/>
    <n v="0.18"/>
    <n v="179200"/>
    <n v="165200"/>
    <n v="-14000"/>
    <n v="5655552000"/>
    <n v="5474397600"/>
    <n v="31560"/>
    <n v="33138"/>
    <n v="1578"/>
  </r>
  <r>
    <x v="9"/>
    <n v="2023"/>
    <x v="9"/>
    <s v="Bajaj"/>
    <x v="9"/>
    <n v="220"/>
    <s v="151-350"/>
    <x v="1"/>
    <n v="140000"/>
    <n v="0.28000000000000003"/>
    <n v="0.18"/>
    <n v="179200"/>
    <n v="165200"/>
    <n v="-14000"/>
    <n v="5585843200"/>
    <n v="5406921660.000001"/>
    <n v="31171"/>
    <n v="32729.550000000003"/>
    <n v="1558.5500000000029"/>
  </r>
  <r>
    <x v="10"/>
    <n v="2023"/>
    <x v="10"/>
    <s v="Bajaj"/>
    <x v="9"/>
    <n v="220"/>
    <s v="151-350"/>
    <x v="1"/>
    <n v="140000"/>
    <n v="0.28000000000000003"/>
    <n v="0.18"/>
    <n v="179200"/>
    <n v="165200"/>
    <n v="-14000"/>
    <n v="6170035200"/>
    <n v="5972401260.000001"/>
    <n v="34431"/>
    <n v="36152.550000000003"/>
    <n v="1721.5500000000029"/>
  </r>
  <r>
    <x v="11"/>
    <n v="2023"/>
    <x v="11"/>
    <s v="Bajaj"/>
    <x v="9"/>
    <n v="220"/>
    <s v="151-350"/>
    <x v="1"/>
    <n v="140000"/>
    <n v="0.28000000000000003"/>
    <n v="0.18"/>
    <n v="179200"/>
    <n v="165200"/>
    <n v="-14000"/>
    <n v="7614208000"/>
    <n v="7370315400"/>
    <n v="42490"/>
    <n v="44614.5"/>
    <n v="2124.5"/>
  </r>
  <r>
    <x v="12"/>
    <n v="2024"/>
    <x v="0"/>
    <s v="Bajaj"/>
    <x v="9"/>
    <n v="220"/>
    <s v="151-350"/>
    <x v="1"/>
    <n v="140000"/>
    <n v="0.28000000000000003"/>
    <n v="0.18"/>
    <n v="179200"/>
    <n v="165200"/>
    <n v="-14000"/>
    <n v="8252518400"/>
    <n v="7988179920"/>
    <n v="46052"/>
    <n v="48354.6"/>
    <n v="2302.5999999999985"/>
  </r>
  <r>
    <x v="13"/>
    <n v="2024"/>
    <x v="1"/>
    <s v="Bajaj"/>
    <x v="9"/>
    <n v="220"/>
    <s v="151-350"/>
    <x v="1"/>
    <n v="140000"/>
    <n v="0.28000000000000003"/>
    <n v="0.18"/>
    <n v="179200"/>
    <n v="165200"/>
    <n v="-14000"/>
    <n v="8572390400"/>
    <n v="8297806020"/>
    <n v="47837"/>
    <n v="50228.85"/>
    <n v="2391.8499999999985"/>
  </r>
  <r>
    <x v="14"/>
    <n v="2024"/>
    <x v="2"/>
    <s v="Bajaj"/>
    <x v="9"/>
    <n v="220"/>
    <s v="151-350"/>
    <x v="1"/>
    <n v="140000"/>
    <n v="0.28000000000000003"/>
    <n v="0.18"/>
    <n v="179200"/>
    <n v="165200"/>
    <n v="-14000"/>
    <n v="8359859200"/>
    <n v="8092082460.000001"/>
    <n v="46651"/>
    <n v="48983.55"/>
    <n v="2332.5500000000029"/>
  </r>
  <r>
    <x v="15"/>
    <n v="2024"/>
    <x v="3"/>
    <s v="Bajaj"/>
    <x v="9"/>
    <n v="220"/>
    <s v="151-350"/>
    <x v="1"/>
    <n v="140000"/>
    <n v="0.28000000000000003"/>
    <n v="0.18"/>
    <n v="179200"/>
    <n v="165200"/>
    <n v="-14000"/>
    <n v="8842444800"/>
    <n v="8559210240.000001"/>
    <n v="49344"/>
    <n v="51811.200000000004"/>
    <n v="2467.2000000000044"/>
  </r>
  <r>
    <x v="16"/>
    <n v="2024"/>
    <x v="4"/>
    <s v="Bajaj"/>
    <x v="9"/>
    <n v="220"/>
    <s v="151-350"/>
    <x v="1"/>
    <n v="140000"/>
    <n v="0.28000000000000003"/>
    <n v="0.18"/>
    <n v="179200"/>
    <n v="165200"/>
    <n v="-14000"/>
    <n v="6341171200"/>
    <n v="6138055560.000001"/>
    <n v="35386"/>
    <n v="37155.300000000003"/>
    <n v="1769.3000000000029"/>
  </r>
  <r>
    <x v="17"/>
    <n v="2024"/>
    <x v="5"/>
    <s v="Bajaj"/>
    <x v="9"/>
    <n v="220"/>
    <s v="151-350"/>
    <x v="1"/>
    <n v="140000"/>
    <n v="0.28000000000000003"/>
    <n v="0.18"/>
    <n v="179200"/>
    <n v="165200"/>
    <n v="-14000"/>
    <n v="8044288000"/>
    <n v="7786619400"/>
    <n v="44890"/>
    <n v="47134.5"/>
    <n v="2244.5"/>
  </r>
  <r>
    <x v="18"/>
    <n v="2024"/>
    <x v="6"/>
    <s v="Bajaj"/>
    <x v="9"/>
    <n v="220"/>
    <s v="151-350"/>
    <x v="1"/>
    <n v="140000"/>
    <n v="0.28000000000000003"/>
    <n v="0.18"/>
    <n v="179200"/>
    <n v="165200"/>
    <n v="-14000"/>
    <n v="7026790400"/>
    <n v="6801713520"/>
    <n v="39212"/>
    <n v="41172.6"/>
    <n v="1960.5999999999985"/>
  </r>
  <r>
    <x v="19"/>
    <n v="2024"/>
    <x v="7"/>
    <s v="Bajaj"/>
    <x v="9"/>
    <n v="220"/>
    <s v="151-350"/>
    <x v="1"/>
    <n v="140000"/>
    <n v="0.28000000000000003"/>
    <n v="0.18"/>
    <n v="179200"/>
    <n v="165200"/>
    <n v="-14000"/>
    <n v="6568755200"/>
    <n v="6358349760.000001"/>
    <n v="36656"/>
    <n v="38488.800000000003"/>
    <n v="1832.8000000000029"/>
  </r>
  <r>
    <x v="20"/>
    <n v="2024"/>
    <x v="8"/>
    <s v="Bajaj"/>
    <x v="9"/>
    <n v="220"/>
    <s v="151-350"/>
    <x v="1"/>
    <n v="140000"/>
    <n v="0.28000000000000003"/>
    <n v="0.18"/>
    <n v="179200"/>
    <n v="165200"/>
    <n v="-14000"/>
    <n v="6080076800"/>
    <n v="5885324340.000001"/>
    <n v="33929"/>
    <n v="35625.450000000004"/>
    <n v="1696.4500000000044"/>
  </r>
  <r>
    <x v="21"/>
    <n v="2024"/>
    <x v="9"/>
    <s v="Bajaj"/>
    <x v="9"/>
    <n v="220"/>
    <s v="151-350"/>
    <x v="1"/>
    <n v="140000"/>
    <n v="0.28000000000000003"/>
    <n v="0.18"/>
    <n v="179200"/>
    <n v="165200"/>
    <n v="-14000"/>
    <n v="6358195200"/>
    <n v="6154534260.000001"/>
    <n v="35481"/>
    <n v="37255.050000000003"/>
    <n v="1774.0500000000029"/>
  </r>
  <r>
    <x v="22"/>
    <n v="2024"/>
    <x v="10"/>
    <s v="Bajaj"/>
    <x v="9"/>
    <n v="220"/>
    <s v="151-350"/>
    <x v="1"/>
    <n v="140000"/>
    <n v="0.28000000000000003"/>
    <n v="0.18"/>
    <n v="179200"/>
    <n v="165200"/>
    <n v="-14000"/>
    <n v="6326476800"/>
    <n v="6123831840.000001"/>
    <n v="35304"/>
    <n v="37069.200000000004"/>
    <n v="1765.2000000000044"/>
  </r>
  <r>
    <x v="23"/>
    <n v="2024"/>
    <x v="11"/>
    <s v="Bajaj"/>
    <x v="9"/>
    <n v="220"/>
    <s v="151-350"/>
    <x v="1"/>
    <n v="140000"/>
    <n v="0.28000000000000003"/>
    <n v="0.18"/>
    <n v="179200"/>
    <n v="165200"/>
    <n v="-14000"/>
    <n v="7996620800"/>
    <n v="7740479040.000001"/>
    <n v="44624"/>
    <n v="46855.200000000004"/>
    <n v="2231.2000000000044"/>
  </r>
  <r>
    <x v="24"/>
    <n v="2025"/>
    <x v="0"/>
    <s v="Bajaj"/>
    <x v="9"/>
    <n v="220"/>
    <s v="151-350"/>
    <x v="1"/>
    <n v="140000"/>
    <n v="0.28000000000000003"/>
    <n v="0.18"/>
    <n v="179200"/>
    <n v="165200"/>
    <n v="-14000"/>
    <n v="8529024000"/>
    <n v="8255828700"/>
    <n v="47595"/>
    <n v="49974.75"/>
    <n v="2379.75"/>
  </r>
  <r>
    <x v="25"/>
    <n v="2025"/>
    <x v="1"/>
    <s v="Bajaj"/>
    <x v="9"/>
    <n v="220"/>
    <s v="151-350"/>
    <x v="1"/>
    <n v="140000"/>
    <n v="0.28000000000000003"/>
    <n v="0.18"/>
    <n v="179200"/>
    <n v="165200"/>
    <n v="-14000"/>
    <n v="8538342400"/>
    <n v="8264848620"/>
    <n v="47647"/>
    <n v="50029.35"/>
    <n v="2382.3499999999985"/>
  </r>
  <r>
    <x v="26"/>
    <n v="2025"/>
    <x v="2"/>
    <s v="Bajaj"/>
    <x v="9"/>
    <n v="220"/>
    <s v="151-350"/>
    <x v="1"/>
    <n v="140000"/>
    <n v="0.28000000000000003"/>
    <n v="0.18"/>
    <n v="179200"/>
    <n v="165200"/>
    <n v="-14000"/>
    <n v="8225638400"/>
    <n v="7962160920"/>
    <n v="45902"/>
    <n v="48197.1"/>
    <n v="2295.0999999999985"/>
  </r>
  <r>
    <x v="27"/>
    <n v="2025"/>
    <x v="3"/>
    <s v="Bajaj"/>
    <x v="9"/>
    <n v="220"/>
    <s v="151-350"/>
    <x v="1"/>
    <n v="140000"/>
    <n v="0.28000000000000003"/>
    <n v="0.18"/>
    <n v="179200"/>
    <n v="165200"/>
    <n v="-14000"/>
    <n v="7432320000"/>
    <n v="7194253500"/>
    <n v="41475"/>
    <n v="43548.75"/>
    <n v="2073.75"/>
  </r>
  <r>
    <x v="28"/>
    <n v="2025"/>
    <x v="4"/>
    <s v="Bajaj"/>
    <x v="9"/>
    <n v="220"/>
    <s v="151-350"/>
    <x v="1"/>
    <n v="140000"/>
    <n v="0.28000000000000003"/>
    <n v="0.18"/>
    <n v="179200"/>
    <n v="165200"/>
    <n v="-14000"/>
    <n v="7256524800"/>
    <n v="7024089240.000001"/>
    <n v="40494"/>
    <n v="42518.700000000004"/>
    <n v="2024.7000000000044"/>
  </r>
  <r>
    <x v="29"/>
    <n v="2025"/>
    <x v="5"/>
    <s v="Bajaj"/>
    <x v="9"/>
    <n v="220"/>
    <s v="151-350"/>
    <x v="1"/>
    <n v="140000"/>
    <n v="0.28000000000000003"/>
    <n v="0.18"/>
    <n v="179200"/>
    <n v="165200"/>
    <n v="-14000"/>
    <n v="6412313600"/>
    <n v="6206919180"/>
    <n v="35783"/>
    <n v="37572.15"/>
    <n v="1789.1500000000015"/>
  </r>
  <r>
    <x v="30"/>
    <n v="2025"/>
    <x v="6"/>
    <s v="Bajaj"/>
    <x v="9"/>
    <n v="220"/>
    <s v="151-350"/>
    <x v="1"/>
    <n v="140000"/>
    <n v="0.28000000000000003"/>
    <n v="0.18"/>
    <n v="179200"/>
    <n v="165200"/>
    <n v="-14000"/>
    <n v="6178457600"/>
    <n v="5980553880"/>
    <n v="34478"/>
    <n v="36201.9"/>
    <n v="1723.9000000000015"/>
  </r>
  <r>
    <x v="31"/>
    <n v="2025"/>
    <x v="7"/>
    <s v="Bajaj"/>
    <x v="9"/>
    <n v="220"/>
    <s v="151-350"/>
    <x v="1"/>
    <n v="140000"/>
    <n v="0.28000000000000003"/>
    <n v="0.18"/>
    <n v="179200"/>
    <n v="165200"/>
    <n v="-14000"/>
    <n v="6361600000"/>
    <n v="6157830000"/>
    <n v="35500"/>
    <n v="37275"/>
    <n v="1775"/>
  </r>
  <r>
    <x v="32"/>
    <n v="2025"/>
    <x v="8"/>
    <s v="Bajaj"/>
    <x v="9"/>
    <n v="220"/>
    <s v="151-350"/>
    <x v="1"/>
    <n v="140000"/>
    <n v="0.28000000000000003"/>
    <n v="0.18"/>
    <n v="179200"/>
    <n v="165200"/>
    <n v="-14000"/>
    <n v="6021657600"/>
    <n v="5828776380"/>
    <n v="33603"/>
    <n v="35283.15"/>
    <n v="1680.1500000000015"/>
  </r>
  <r>
    <x v="0"/>
    <n v="2023"/>
    <x v="0"/>
    <s v="Bajaj"/>
    <x v="10"/>
    <n v="220"/>
    <s v="151-350"/>
    <x v="1"/>
    <n v="140000"/>
    <n v="0.28000000000000003"/>
    <n v="0.18"/>
    <n v="179200"/>
    <n v="165200"/>
    <n v="-14000"/>
    <n v="2845158400"/>
    <n v="2754024420.0000005"/>
    <n v="15877"/>
    <n v="16670.850000000002"/>
    <n v="793.85000000000218"/>
  </r>
  <r>
    <x v="1"/>
    <n v="2023"/>
    <x v="1"/>
    <s v="Bajaj"/>
    <x v="10"/>
    <n v="220"/>
    <s v="151-350"/>
    <x v="1"/>
    <n v="140000"/>
    <n v="0.28000000000000003"/>
    <n v="0.18"/>
    <n v="179200"/>
    <n v="165200"/>
    <n v="-14000"/>
    <n v="2603955200"/>
    <n v="2520547260"/>
    <n v="14531"/>
    <n v="15257.550000000001"/>
    <n v="726.55000000000109"/>
  </r>
  <r>
    <x v="2"/>
    <n v="2023"/>
    <x v="2"/>
    <s v="Bajaj"/>
    <x v="10"/>
    <n v="220"/>
    <s v="151-350"/>
    <x v="1"/>
    <n v="140000"/>
    <n v="0.28000000000000003"/>
    <n v="0.18"/>
    <n v="179200"/>
    <n v="165200"/>
    <n v="-14000"/>
    <n v="2897664000"/>
    <n v="2804848200"/>
    <n v="16170"/>
    <n v="16978.5"/>
    <n v="808.5"/>
  </r>
  <r>
    <x v="3"/>
    <n v="2023"/>
    <x v="3"/>
    <s v="Bajaj"/>
    <x v="10"/>
    <n v="220"/>
    <s v="151-350"/>
    <x v="1"/>
    <n v="140000"/>
    <n v="0.28000000000000003"/>
    <n v="0.18"/>
    <n v="179200"/>
    <n v="165200"/>
    <n v="-14000"/>
    <n v="3062886400"/>
    <n v="2964778320.0000005"/>
    <n v="17092"/>
    <n v="17946.600000000002"/>
    <n v="854.60000000000218"/>
  </r>
  <r>
    <x v="4"/>
    <n v="2023"/>
    <x v="4"/>
    <s v="Bajaj"/>
    <x v="10"/>
    <n v="220"/>
    <s v="151-350"/>
    <x v="1"/>
    <n v="140000"/>
    <n v="0.28000000000000003"/>
    <n v="0.18"/>
    <n v="179200"/>
    <n v="165200"/>
    <n v="-14000"/>
    <n v="2889420800"/>
    <n v="2796869040"/>
    <n v="16124"/>
    <n v="16930.2"/>
    <n v="806.20000000000073"/>
  </r>
  <r>
    <x v="5"/>
    <n v="2023"/>
    <x v="5"/>
    <s v="Bajaj"/>
    <x v="10"/>
    <n v="220"/>
    <s v="151-350"/>
    <x v="1"/>
    <n v="140000"/>
    <n v="0.28000000000000003"/>
    <n v="0.18"/>
    <n v="179200"/>
    <n v="165200"/>
    <n v="-14000"/>
    <n v="2713088000"/>
    <n v="2626184400"/>
    <n v="15140"/>
    <n v="15897"/>
    <n v="757"/>
  </r>
  <r>
    <x v="6"/>
    <n v="2023"/>
    <x v="6"/>
    <s v="Bajaj"/>
    <x v="10"/>
    <n v="220"/>
    <s v="151-350"/>
    <x v="1"/>
    <n v="140000"/>
    <n v="0.28000000000000003"/>
    <n v="0.18"/>
    <n v="179200"/>
    <n v="165200"/>
    <n v="-14000"/>
    <n v="2854656000"/>
    <n v="2763217800"/>
    <n v="15930"/>
    <n v="16726.5"/>
    <n v="796.5"/>
  </r>
  <r>
    <x v="7"/>
    <n v="2023"/>
    <x v="7"/>
    <s v="Bajaj"/>
    <x v="10"/>
    <n v="220"/>
    <s v="151-350"/>
    <x v="1"/>
    <n v="140000"/>
    <n v="0.28000000000000003"/>
    <n v="0.18"/>
    <n v="179200"/>
    <n v="165200"/>
    <n v="-14000"/>
    <n v="2253260800"/>
    <n v="2181086040"/>
    <n v="12574"/>
    <n v="13202.7"/>
    <n v="628.70000000000073"/>
  </r>
  <r>
    <x v="8"/>
    <n v="2023"/>
    <x v="8"/>
    <s v="Bajaj"/>
    <x v="10"/>
    <n v="220"/>
    <s v="151-350"/>
    <x v="1"/>
    <n v="140000"/>
    <n v="0.28000000000000003"/>
    <n v="0.18"/>
    <n v="179200"/>
    <n v="165200"/>
    <n v="-14000"/>
    <n v="2407014400"/>
    <n v="2329914720"/>
    <n v="13432"/>
    <n v="14103.6"/>
    <n v="671.60000000000036"/>
  </r>
  <r>
    <x v="9"/>
    <n v="2023"/>
    <x v="9"/>
    <s v="Bajaj"/>
    <x v="10"/>
    <n v="220"/>
    <s v="151-350"/>
    <x v="1"/>
    <n v="140000"/>
    <n v="0.28000000000000003"/>
    <n v="0.18"/>
    <n v="179200"/>
    <n v="165200"/>
    <n v="-14000"/>
    <n v="2334796800"/>
    <n v="2260010340"/>
    <n v="13029"/>
    <n v="13680.45"/>
    <n v="651.45000000000073"/>
  </r>
  <r>
    <x v="10"/>
    <n v="2023"/>
    <x v="10"/>
    <s v="Bajaj"/>
    <x v="10"/>
    <n v="220"/>
    <s v="151-350"/>
    <x v="1"/>
    <n v="140000"/>
    <n v="0.28000000000000003"/>
    <n v="0.18"/>
    <n v="179200"/>
    <n v="165200"/>
    <n v="-14000"/>
    <n v="2877235200"/>
    <n v="2785073760"/>
    <n v="16056"/>
    <n v="16858.8"/>
    <n v="802.79999999999927"/>
  </r>
  <r>
    <x v="11"/>
    <n v="2023"/>
    <x v="11"/>
    <s v="Bajaj"/>
    <x v="10"/>
    <n v="220"/>
    <s v="151-350"/>
    <x v="1"/>
    <n v="140000"/>
    <n v="0.28000000000000003"/>
    <n v="0.18"/>
    <n v="179200"/>
    <n v="165200"/>
    <n v="-14000"/>
    <n v="2685670400"/>
    <n v="2599645020"/>
    <n v="14987"/>
    <n v="15736.35"/>
    <n v="749.35000000000036"/>
  </r>
  <r>
    <x v="12"/>
    <n v="2024"/>
    <x v="0"/>
    <s v="Bajaj"/>
    <x v="10"/>
    <n v="220"/>
    <s v="151-350"/>
    <x v="1"/>
    <n v="140000"/>
    <n v="0.28000000000000003"/>
    <n v="0.18"/>
    <n v="179200"/>
    <n v="165200"/>
    <n v="-14000"/>
    <n v="2712012800"/>
    <n v="2625143640"/>
    <n v="15134"/>
    <n v="15890.7"/>
    <n v="756.70000000000073"/>
  </r>
  <r>
    <x v="13"/>
    <n v="2024"/>
    <x v="1"/>
    <s v="Bajaj"/>
    <x v="10"/>
    <n v="220"/>
    <s v="151-350"/>
    <x v="1"/>
    <n v="140000"/>
    <n v="0.28000000000000003"/>
    <n v="0.18"/>
    <n v="179200"/>
    <n v="165200"/>
    <n v="-14000"/>
    <n v="2763801600"/>
    <n v="2675273580.0000005"/>
    <n v="15423"/>
    <n v="16194.150000000001"/>
    <n v="771.15000000000146"/>
  </r>
  <r>
    <x v="14"/>
    <n v="2024"/>
    <x v="2"/>
    <s v="Bajaj"/>
    <x v="10"/>
    <n v="220"/>
    <s v="151-350"/>
    <x v="1"/>
    <n v="140000"/>
    <n v="0.28000000000000003"/>
    <n v="0.18"/>
    <n v="179200"/>
    <n v="165200"/>
    <n v="-14000"/>
    <n v="2388198400"/>
    <n v="2311701420"/>
    <n v="13327"/>
    <n v="13993.35"/>
    <n v="666.35000000000036"/>
  </r>
  <r>
    <x v="15"/>
    <n v="2024"/>
    <x v="3"/>
    <s v="Bajaj"/>
    <x v="10"/>
    <n v="220"/>
    <s v="151-350"/>
    <x v="1"/>
    <n v="140000"/>
    <n v="0.28000000000000003"/>
    <n v="0.18"/>
    <n v="179200"/>
    <n v="165200"/>
    <n v="-14000"/>
    <n v="3299251200"/>
    <n v="3193572060"/>
    <n v="18411"/>
    <n v="19331.55"/>
    <n v="920.54999999999927"/>
  </r>
  <r>
    <x v="16"/>
    <n v="2024"/>
    <x v="4"/>
    <s v="Bajaj"/>
    <x v="10"/>
    <n v="220"/>
    <s v="151-350"/>
    <x v="1"/>
    <n v="140000"/>
    <n v="0.28000000000000003"/>
    <n v="0.18"/>
    <n v="179200"/>
    <n v="165200"/>
    <n v="-14000"/>
    <n v="2733516800"/>
    <n v="2645958840"/>
    <n v="15254"/>
    <n v="16016.7"/>
    <n v="762.70000000000073"/>
  </r>
  <r>
    <x v="17"/>
    <n v="2024"/>
    <x v="5"/>
    <s v="Bajaj"/>
    <x v="10"/>
    <n v="220"/>
    <s v="151-350"/>
    <x v="1"/>
    <n v="140000"/>
    <n v="0.28000000000000003"/>
    <n v="0.18"/>
    <n v="179200"/>
    <n v="165200"/>
    <n v="-14000"/>
    <n v="2752332800"/>
    <n v="2664172140"/>
    <n v="15359"/>
    <n v="16126.95"/>
    <n v="767.95000000000073"/>
  </r>
  <r>
    <x v="18"/>
    <n v="2024"/>
    <x v="6"/>
    <s v="Bajaj"/>
    <x v="10"/>
    <n v="220"/>
    <s v="151-350"/>
    <x v="1"/>
    <n v="140000"/>
    <n v="0.28000000000000003"/>
    <n v="0.18"/>
    <n v="179200"/>
    <n v="165200"/>
    <n v="-14000"/>
    <n v="2636569600"/>
    <n v="2552116980.0000005"/>
    <n v="14713"/>
    <n v="15448.650000000001"/>
    <n v="735.65000000000146"/>
  </r>
  <r>
    <x v="19"/>
    <n v="2024"/>
    <x v="7"/>
    <s v="Bajaj"/>
    <x v="10"/>
    <n v="220"/>
    <s v="151-350"/>
    <x v="1"/>
    <n v="140000"/>
    <n v="0.28000000000000003"/>
    <n v="0.18"/>
    <n v="179200"/>
    <n v="165200"/>
    <n v="-14000"/>
    <n v="2193228800"/>
    <n v="2122976940.0000002"/>
    <n v="12239"/>
    <n v="12850.95"/>
    <n v="611.95000000000073"/>
  </r>
  <r>
    <x v="20"/>
    <n v="2024"/>
    <x v="8"/>
    <s v="Bajaj"/>
    <x v="10"/>
    <n v="220"/>
    <s v="151-350"/>
    <x v="1"/>
    <n v="140000"/>
    <n v="0.28000000000000003"/>
    <n v="0.18"/>
    <n v="179200"/>
    <n v="165200"/>
    <n v="-14000"/>
    <n v="2140902400"/>
    <n v="2072326620"/>
    <n v="11947"/>
    <n v="12544.35"/>
    <n v="597.35000000000036"/>
  </r>
  <r>
    <x v="21"/>
    <n v="2024"/>
    <x v="9"/>
    <s v="Bajaj"/>
    <x v="10"/>
    <n v="220"/>
    <s v="151-350"/>
    <x v="1"/>
    <n v="140000"/>
    <n v="0.28000000000000003"/>
    <n v="0.18"/>
    <n v="179200"/>
    <n v="165200"/>
    <n v="-14000"/>
    <n v="2411136000"/>
    <n v="2333904300"/>
    <n v="13455"/>
    <n v="14127.75"/>
    <n v="672.75"/>
  </r>
  <r>
    <x v="22"/>
    <n v="2024"/>
    <x v="10"/>
    <s v="Bajaj"/>
    <x v="10"/>
    <n v="220"/>
    <s v="151-350"/>
    <x v="1"/>
    <n v="140000"/>
    <n v="0.28000000000000003"/>
    <n v="0.18"/>
    <n v="179200"/>
    <n v="165200"/>
    <n v="-14000"/>
    <n v="2365977600"/>
    <n v="2290192380.0000005"/>
    <n v="13203"/>
    <n v="13863.150000000001"/>
    <n v="660.15000000000146"/>
  </r>
  <r>
    <x v="23"/>
    <n v="2024"/>
    <x v="11"/>
    <s v="Bajaj"/>
    <x v="10"/>
    <n v="220"/>
    <s v="151-350"/>
    <x v="1"/>
    <n v="140000"/>
    <n v="0.28000000000000003"/>
    <n v="0.18"/>
    <n v="179200"/>
    <n v="165200"/>
    <n v="-14000"/>
    <n v="2503961600"/>
    <n v="2423756580.0000005"/>
    <n v="13973"/>
    <n v="14671.650000000001"/>
    <n v="698.65000000000146"/>
  </r>
  <r>
    <x v="24"/>
    <n v="2025"/>
    <x v="0"/>
    <s v="Bajaj"/>
    <x v="10"/>
    <n v="220"/>
    <s v="151-350"/>
    <x v="1"/>
    <n v="140000"/>
    <n v="0.28000000000000003"/>
    <n v="0.18"/>
    <n v="179200"/>
    <n v="165200"/>
    <n v="-14000"/>
    <n v="2625996800"/>
    <n v="2541882840"/>
    <n v="14654"/>
    <n v="15386.7"/>
    <n v="732.70000000000073"/>
  </r>
  <r>
    <x v="25"/>
    <n v="2025"/>
    <x v="1"/>
    <s v="Bajaj"/>
    <x v="10"/>
    <n v="220"/>
    <s v="151-350"/>
    <x v="1"/>
    <n v="140000"/>
    <n v="0.28000000000000003"/>
    <n v="0.18"/>
    <n v="179200"/>
    <n v="165200"/>
    <n v="-14000"/>
    <n v="3789184000"/>
    <n v="3667811700"/>
    <n v="21145"/>
    <n v="22202.25"/>
    <n v="1057.25"/>
  </r>
  <r>
    <x v="26"/>
    <n v="2025"/>
    <x v="2"/>
    <s v="Bajaj"/>
    <x v="10"/>
    <n v="220"/>
    <s v="151-350"/>
    <x v="1"/>
    <n v="140000"/>
    <n v="0.28000000000000003"/>
    <n v="0.18"/>
    <n v="179200"/>
    <n v="165200"/>
    <n v="-14000"/>
    <n v="3365376000"/>
    <n v="3257578800"/>
    <n v="18780"/>
    <n v="19719"/>
    <n v="939"/>
  </r>
  <r>
    <x v="27"/>
    <n v="2025"/>
    <x v="3"/>
    <s v="Bajaj"/>
    <x v="10"/>
    <n v="220"/>
    <s v="151-350"/>
    <x v="1"/>
    <n v="140000"/>
    <n v="0.28000000000000003"/>
    <n v="0.18"/>
    <n v="179200"/>
    <n v="165200"/>
    <n v="-14000"/>
    <n v="3051059200"/>
    <n v="2953329960"/>
    <n v="17026"/>
    <n v="17877.3"/>
    <n v="851.29999999999927"/>
  </r>
  <r>
    <x v="28"/>
    <n v="2025"/>
    <x v="4"/>
    <s v="Bajaj"/>
    <x v="10"/>
    <n v="220"/>
    <s v="151-350"/>
    <x v="1"/>
    <n v="140000"/>
    <n v="0.28000000000000003"/>
    <n v="0.18"/>
    <n v="179200"/>
    <n v="165200"/>
    <n v="-14000"/>
    <n v="3126144000"/>
    <n v="3026009700"/>
    <n v="17445"/>
    <n v="18317.25"/>
    <n v="872.25"/>
  </r>
  <r>
    <x v="29"/>
    <n v="2025"/>
    <x v="5"/>
    <s v="Bajaj"/>
    <x v="10"/>
    <n v="220"/>
    <s v="151-350"/>
    <x v="1"/>
    <n v="140000"/>
    <n v="0.28000000000000003"/>
    <n v="0.18"/>
    <n v="179200"/>
    <n v="165200"/>
    <n v="-14000"/>
    <n v="2258816000"/>
    <n v="2186463300"/>
    <n v="12605"/>
    <n v="13235.25"/>
    <n v="630.25"/>
  </r>
  <r>
    <x v="30"/>
    <n v="2025"/>
    <x v="6"/>
    <s v="Bajaj"/>
    <x v="10"/>
    <n v="220"/>
    <s v="151-350"/>
    <x v="1"/>
    <n v="140000"/>
    <n v="0.28000000000000003"/>
    <n v="0.18"/>
    <n v="179200"/>
    <n v="165200"/>
    <n v="-14000"/>
    <n v="2140364800"/>
    <n v="2071806240.0000002"/>
    <n v="11944"/>
    <n v="12541.2"/>
    <n v="597.20000000000073"/>
  </r>
  <r>
    <x v="31"/>
    <n v="2025"/>
    <x v="7"/>
    <s v="Bajaj"/>
    <x v="10"/>
    <n v="220"/>
    <s v="151-350"/>
    <x v="1"/>
    <n v="140000"/>
    <n v="0.28000000000000003"/>
    <n v="0.18"/>
    <n v="179200"/>
    <n v="165200"/>
    <n v="-14000"/>
    <n v="2387660800"/>
    <n v="2311181040"/>
    <n v="13324"/>
    <n v="13990.2"/>
    <n v="666.20000000000073"/>
  </r>
  <r>
    <x v="32"/>
    <n v="2025"/>
    <x v="8"/>
    <s v="Bajaj"/>
    <x v="10"/>
    <n v="220"/>
    <s v="151-350"/>
    <x v="1"/>
    <n v="140000"/>
    <n v="0.28000000000000003"/>
    <n v="0.18"/>
    <n v="179200"/>
    <n v="165200"/>
    <n v="-14000"/>
    <n v="2358809600"/>
    <n v="2283253980.0000005"/>
    <n v="13163"/>
    <n v="13821.150000000001"/>
    <n v="658.15000000000146"/>
  </r>
  <r>
    <x v="0"/>
    <n v="2023"/>
    <x v="0"/>
    <s v="Bajaj"/>
    <x v="11"/>
    <n v="248"/>
    <s v="151-350"/>
    <x v="1"/>
    <n v="180000"/>
    <n v="0.28000000000000003"/>
    <n v="0.18"/>
    <n v="230400"/>
    <n v="212400"/>
    <n v="-18000"/>
    <n v="3123302400"/>
    <n v="3023259120"/>
    <n v="13556"/>
    <n v="14233.800000000001"/>
    <n v="677.80000000000109"/>
  </r>
  <r>
    <x v="1"/>
    <n v="2023"/>
    <x v="1"/>
    <s v="Bajaj"/>
    <x v="11"/>
    <n v="248"/>
    <s v="151-350"/>
    <x v="1"/>
    <n v="180000"/>
    <n v="0.28000000000000003"/>
    <n v="0.18"/>
    <n v="230400"/>
    <n v="212400"/>
    <n v="-18000"/>
    <n v="2132121600"/>
    <n v="2063827080.0000002"/>
    <n v="9254"/>
    <n v="9716.7000000000007"/>
    <n v="462.70000000000073"/>
  </r>
  <r>
    <x v="2"/>
    <n v="2023"/>
    <x v="2"/>
    <s v="Bajaj"/>
    <x v="11"/>
    <n v="248"/>
    <s v="151-350"/>
    <x v="1"/>
    <n v="180000"/>
    <n v="0.28000000000000003"/>
    <n v="0.18"/>
    <n v="230400"/>
    <n v="212400"/>
    <n v="-18000"/>
    <n v="2639001600"/>
    <n v="2554471080"/>
    <n v="11454"/>
    <n v="12026.7"/>
    <n v="572.70000000000073"/>
  </r>
  <r>
    <x v="3"/>
    <n v="2023"/>
    <x v="3"/>
    <s v="Bajaj"/>
    <x v="11"/>
    <n v="248"/>
    <s v="151-350"/>
    <x v="1"/>
    <n v="180000"/>
    <n v="0.28000000000000003"/>
    <n v="0.18"/>
    <n v="230400"/>
    <n v="212400"/>
    <n v="-18000"/>
    <n v="2694297600"/>
    <n v="2607995880"/>
    <n v="11694"/>
    <n v="12278.7"/>
    <n v="584.70000000000073"/>
  </r>
  <r>
    <x v="4"/>
    <n v="2023"/>
    <x v="4"/>
    <s v="Bajaj"/>
    <x v="11"/>
    <n v="248"/>
    <s v="151-350"/>
    <x v="1"/>
    <n v="180000"/>
    <n v="0.28000000000000003"/>
    <n v="0.18"/>
    <n v="230400"/>
    <n v="212400"/>
    <n v="-18000"/>
    <n v="2661580800"/>
    <n v="2576327040"/>
    <n v="11552"/>
    <n v="12129.6"/>
    <n v="577.60000000000036"/>
  </r>
  <r>
    <x v="5"/>
    <n v="2023"/>
    <x v="5"/>
    <s v="Bajaj"/>
    <x v="11"/>
    <n v="248"/>
    <s v="151-350"/>
    <x v="1"/>
    <n v="180000"/>
    <n v="0.28000000000000003"/>
    <n v="0.18"/>
    <n v="230400"/>
    <n v="212400"/>
    <n v="-18000"/>
    <n v="2188569600"/>
    <n v="2118466980.0000002"/>
    <n v="9499"/>
    <n v="9973.9500000000007"/>
    <n v="474.95000000000073"/>
  </r>
  <r>
    <x v="6"/>
    <n v="2023"/>
    <x v="6"/>
    <s v="Bajaj"/>
    <x v="11"/>
    <n v="248"/>
    <s v="151-350"/>
    <x v="1"/>
    <n v="180000"/>
    <n v="0.28000000000000003"/>
    <n v="0.18"/>
    <n v="230400"/>
    <n v="212400"/>
    <n v="-18000"/>
    <n v="2303539200"/>
    <n v="2229753960"/>
    <n v="9998"/>
    <n v="10497.9"/>
    <n v="499.89999999999964"/>
  </r>
  <r>
    <x v="7"/>
    <n v="2023"/>
    <x v="7"/>
    <s v="Bajaj"/>
    <x v="11"/>
    <n v="248"/>
    <s v="151-350"/>
    <x v="1"/>
    <n v="180000"/>
    <n v="0.28000000000000003"/>
    <n v="0.18"/>
    <n v="230400"/>
    <n v="212400"/>
    <n v="-18000"/>
    <n v="2093184000"/>
    <n v="2026136700"/>
    <n v="9085"/>
    <n v="9539.25"/>
    <n v="454.25"/>
  </r>
  <r>
    <x v="8"/>
    <n v="2023"/>
    <x v="8"/>
    <s v="Bajaj"/>
    <x v="11"/>
    <n v="248"/>
    <s v="151-350"/>
    <x v="1"/>
    <n v="180000"/>
    <n v="0.28000000000000003"/>
    <n v="0.18"/>
    <n v="230400"/>
    <n v="212400"/>
    <n v="-18000"/>
    <n v="1632844800"/>
    <n v="1580542740"/>
    <n v="7087"/>
    <n v="7441.35"/>
    <n v="354.35000000000036"/>
  </r>
  <r>
    <x v="9"/>
    <n v="2023"/>
    <x v="9"/>
    <s v="Bajaj"/>
    <x v="11"/>
    <n v="248"/>
    <s v="151-350"/>
    <x v="1"/>
    <n v="180000"/>
    <n v="0.28000000000000003"/>
    <n v="0.18"/>
    <n v="230400"/>
    <n v="212400"/>
    <n v="-18000"/>
    <n v="2368281600"/>
    <n v="2292422580"/>
    <n v="10279"/>
    <n v="10792.95"/>
    <n v="513.95000000000073"/>
  </r>
  <r>
    <x v="10"/>
    <n v="2023"/>
    <x v="10"/>
    <s v="Bajaj"/>
    <x v="11"/>
    <n v="248"/>
    <s v="151-350"/>
    <x v="1"/>
    <n v="180000"/>
    <n v="0.28000000000000003"/>
    <n v="0.18"/>
    <n v="230400"/>
    <n v="212400"/>
    <n v="-18000"/>
    <n v="1820390400"/>
    <n v="1762081020.0000002"/>
    <n v="7901"/>
    <n v="8296.0500000000011"/>
    <n v="395.05000000000109"/>
  </r>
  <r>
    <x v="11"/>
    <n v="2023"/>
    <x v="11"/>
    <s v="Bajaj"/>
    <x v="11"/>
    <n v="248"/>
    <s v="151-350"/>
    <x v="1"/>
    <n v="180000"/>
    <n v="0.28000000000000003"/>
    <n v="0.18"/>
    <n v="230400"/>
    <n v="212400"/>
    <n v="-18000"/>
    <n v="2421504000"/>
    <n v="2343940200"/>
    <n v="10510"/>
    <n v="11035.5"/>
    <n v="525.5"/>
  </r>
  <r>
    <x v="12"/>
    <n v="2024"/>
    <x v="0"/>
    <s v="Bajaj"/>
    <x v="11"/>
    <n v="248"/>
    <s v="151-350"/>
    <x v="1"/>
    <n v="180000"/>
    <n v="0.28000000000000003"/>
    <n v="0.18"/>
    <n v="230400"/>
    <n v="212400"/>
    <n v="-18000"/>
    <n v="2092032000"/>
    <n v="2025021600"/>
    <n v="9080"/>
    <n v="9534"/>
    <n v="454"/>
  </r>
  <r>
    <x v="13"/>
    <n v="2024"/>
    <x v="1"/>
    <s v="Bajaj"/>
    <x v="11"/>
    <n v="248"/>
    <s v="151-350"/>
    <x v="1"/>
    <n v="180000"/>
    <n v="0.28000000000000003"/>
    <n v="0.18"/>
    <n v="230400"/>
    <n v="212400"/>
    <n v="-18000"/>
    <n v="2884838400"/>
    <n v="2792433420"/>
    <n v="12521"/>
    <n v="13147.050000000001"/>
    <n v="626.05000000000109"/>
  </r>
  <r>
    <x v="14"/>
    <n v="2024"/>
    <x v="2"/>
    <s v="Bajaj"/>
    <x v="11"/>
    <n v="248"/>
    <s v="151-350"/>
    <x v="1"/>
    <n v="180000"/>
    <n v="0.28000000000000003"/>
    <n v="0.18"/>
    <n v="230400"/>
    <n v="212400"/>
    <n v="-18000"/>
    <n v="3233894400"/>
    <n v="3130308720"/>
    <n v="14036"/>
    <n v="14737.800000000001"/>
    <n v="701.80000000000109"/>
  </r>
  <r>
    <x v="15"/>
    <n v="2024"/>
    <x v="3"/>
    <s v="Bajaj"/>
    <x v="11"/>
    <n v="248"/>
    <s v="151-350"/>
    <x v="1"/>
    <n v="180000"/>
    <n v="0.28000000000000003"/>
    <n v="0.18"/>
    <n v="230400"/>
    <n v="212400"/>
    <n v="-18000"/>
    <n v="2559283200"/>
    <n v="2477306160"/>
    <n v="11108"/>
    <n v="11663.4"/>
    <n v="555.39999999999964"/>
  </r>
  <r>
    <x v="16"/>
    <n v="2024"/>
    <x v="4"/>
    <s v="Bajaj"/>
    <x v="11"/>
    <n v="248"/>
    <s v="151-350"/>
    <x v="1"/>
    <n v="180000"/>
    <n v="0.28000000000000003"/>
    <n v="0.18"/>
    <n v="230400"/>
    <n v="212400"/>
    <n v="-18000"/>
    <n v="2412518400"/>
    <n v="2335242420"/>
    <n v="10471"/>
    <n v="10994.550000000001"/>
    <n v="523.55000000000109"/>
  </r>
  <r>
    <x v="17"/>
    <n v="2024"/>
    <x v="5"/>
    <s v="Bajaj"/>
    <x v="11"/>
    <n v="248"/>
    <s v="151-350"/>
    <x v="1"/>
    <n v="180000"/>
    <n v="0.28000000000000003"/>
    <n v="0.18"/>
    <n v="230400"/>
    <n v="212400"/>
    <n v="-18000"/>
    <n v="2217139200"/>
    <n v="2146121460"/>
    <n v="9623"/>
    <n v="10104.15"/>
    <n v="481.14999999999964"/>
  </r>
  <r>
    <x v="18"/>
    <n v="2024"/>
    <x v="6"/>
    <s v="Bajaj"/>
    <x v="11"/>
    <n v="248"/>
    <s v="151-350"/>
    <x v="1"/>
    <n v="180000"/>
    <n v="0.28000000000000003"/>
    <n v="0.18"/>
    <n v="230400"/>
    <n v="212400"/>
    <n v="-18000"/>
    <n v="2136038400"/>
    <n v="2067618420.0000002"/>
    <n v="9271"/>
    <n v="9734.5500000000011"/>
    <n v="463.55000000000109"/>
  </r>
  <r>
    <x v="19"/>
    <n v="2024"/>
    <x v="7"/>
    <s v="Bajaj"/>
    <x v="11"/>
    <n v="248"/>
    <s v="151-350"/>
    <x v="1"/>
    <n v="180000"/>
    <n v="0.28000000000000003"/>
    <n v="0.18"/>
    <n v="230400"/>
    <n v="212400"/>
    <n v="-18000"/>
    <n v="1815321600"/>
    <n v="1757174580.0000002"/>
    <n v="7879"/>
    <n v="8272.9500000000007"/>
    <n v="393.95000000000073"/>
  </r>
  <r>
    <x v="20"/>
    <n v="2024"/>
    <x v="8"/>
    <s v="Bajaj"/>
    <x v="11"/>
    <n v="248"/>
    <s v="151-350"/>
    <x v="1"/>
    <n v="180000"/>
    <n v="0.28000000000000003"/>
    <n v="0.18"/>
    <n v="230400"/>
    <n v="212400"/>
    <n v="-18000"/>
    <n v="1829836800"/>
    <n v="1771224840"/>
    <n v="7942"/>
    <n v="8339.1"/>
    <n v="397.10000000000036"/>
  </r>
  <r>
    <x v="21"/>
    <n v="2024"/>
    <x v="9"/>
    <s v="Bajaj"/>
    <x v="11"/>
    <n v="248"/>
    <s v="151-350"/>
    <x v="1"/>
    <n v="180000"/>
    <n v="0.28000000000000003"/>
    <n v="0.18"/>
    <n v="230400"/>
    <n v="212400"/>
    <n v="-18000"/>
    <n v="2065996800"/>
    <n v="1999820340"/>
    <n v="8967"/>
    <n v="9415.35"/>
    <n v="448.35000000000036"/>
  </r>
  <r>
    <x v="22"/>
    <n v="2024"/>
    <x v="10"/>
    <s v="Bajaj"/>
    <x v="11"/>
    <n v="248"/>
    <s v="151-350"/>
    <x v="1"/>
    <n v="180000"/>
    <n v="0.28000000000000003"/>
    <n v="0.18"/>
    <n v="230400"/>
    <n v="212400"/>
    <n v="-18000"/>
    <n v="2016230400"/>
    <n v="1951648020.0000002"/>
    <n v="8751"/>
    <n v="9188.5500000000011"/>
    <n v="437.55000000000109"/>
  </r>
  <r>
    <x v="23"/>
    <n v="2024"/>
    <x v="11"/>
    <s v="Bajaj"/>
    <x v="11"/>
    <n v="248"/>
    <s v="151-350"/>
    <x v="1"/>
    <n v="180000"/>
    <n v="0.28000000000000003"/>
    <n v="0.18"/>
    <n v="230400"/>
    <n v="212400"/>
    <n v="-18000"/>
    <n v="2402841600"/>
    <n v="2325875580"/>
    <n v="10429"/>
    <n v="10950.45"/>
    <n v="521.45000000000073"/>
  </r>
  <r>
    <x v="24"/>
    <n v="2025"/>
    <x v="0"/>
    <s v="Bajaj"/>
    <x v="11"/>
    <n v="248"/>
    <s v="151-350"/>
    <x v="1"/>
    <n v="180000"/>
    <n v="0.28000000000000003"/>
    <n v="0.18"/>
    <n v="230400"/>
    <n v="212400"/>
    <n v="-18000"/>
    <n v="2528870400"/>
    <n v="2447867520"/>
    <n v="10976"/>
    <n v="11524.800000000001"/>
    <n v="548.80000000000109"/>
  </r>
  <r>
    <x v="25"/>
    <n v="2025"/>
    <x v="1"/>
    <s v="Bajaj"/>
    <x v="11"/>
    <n v="248"/>
    <s v="151-350"/>
    <x v="1"/>
    <n v="180000"/>
    <n v="0.28000000000000003"/>
    <n v="0.18"/>
    <n v="230400"/>
    <n v="212400"/>
    <n v="-18000"/>
    <n v="2616422400"/>
    <n v="2532615120"/>
    <n v="11356"/>
    <n v="11923.800000000001"/>
    <n v="567.80000000000109"/>
  </r>
  <r>
    <x v="26"/>
    <n v="2025"/>
    <x v="2"/>
    <s v="Bajaj"/>
    <x v="11"/>
    <n v="248"/>
    <s v="151-350"/>
    <x v="1"/>
    <n v="180000"/>
    <n v="0.28000000000000003"/>
    <n v="0.18"/>
    <n v="230400"/>
    <n v="212400"/>
    <n v="-18000"/>
    <n v="2815488000"/>
    <n v="2725304400"/>
    <n v="12220"/>
    <n v="12831"/>
    <n v="611"/>
  </r>
  <r>
    <x v="27"/>
    <n v="2025"/>
    <x v="3"/>
    <s v="Bajaj"/>
    <x v="11"/>
    <n v="248"/>
    <s v="151-350"/>
    <x v="1"/>
    <n v="180000"/>
    <n v="0.28000000000000003"/>
    <n v="0.18"/>
    <n v="230400"/>
    <n v="212400"/>
    <n v="-18000"/>
    <n v="2196864000"/>
    <n v="2126495700"/>
    <n v="9535"/>
    <n v="10011.75"/>
    <n v="476.75"/>
  </r>
  <r>
    <x v="28"/>
    <n v="2025"/>
    <x v="4"/>
    <s v="Bajaj"/>
    <x v="11"/>
    <n v="248"/>
    <s v="151-350"/>
    <x v="1"/>
    <n v="180000"/>
    <n v="0.28000000000000003"/>
    <n v="0.18"/>
    <n v="230400"/>
    <n v="212400"/>
    <n v="-18000"/>
    <n v="2310912000"/>
    <n v="2236890600"/>
    <n v="10030"/>
    <n v="10531.5"/>
    <n v="501.5"/>
  </r>
  <r>
    <x v="29"/>
    <n v="2025"/>
    <x v="5"/>
    <s v="Bajaj"/>
    <x v="11"/>
    <n v="248"/>
    <s v="151-350"/>
    <x v="1"/>
    <n v="180000"/>
    <n v="0.28000000000000003"/>
    <n v="0.18"/>
    <n v="230400"/>
    <n v="212400"/>
    <n v="-18000"/>
    <n v="2539008000"/>
    <n v="2457680400"/>
    <n v="11020"/>
    <n v="11571"/>
    <n v="551"/>
  </r>
  <r>
    <x v="30"/>
    <n v="2025"/>
    <x v="6"/>
    <s v="Bajaj"/>
    <x v="11"/>
    <n v="248"/>
    <s v="151-350"/>
    <x v="1"/>
    <n v="180000"/>
    <n v="0.28000000000000003"/>
    <n v="0.18"/>
    <n v="230400"/>
    <n v="212400"/>
    <n v="-18000"/>
    <n v="2274508800"/>
    <n v="2201653440"/>
    <n v="9872"/>
    <n v="10365.6"/>
    <n v="493.60000000000036"/>
  </r>
  <r>
    <x v="31"/>
    <n v="2025"/>
    <x v="7"/>
    <s v="Bajaj"/>
    <x v="11"/>
    <n v="248"/>
    <s v="151-350"/>
    <x v="1"/>
    <n v="180000"/>
    <n v="0.28000000000000003"/>
    <n v="0.18"/>
    <n v="230400"/>
    <n v="212400"/>
    <n v="-18000"/>
    <n v="2228428800"/>
    <n v="2157049440"/>
    <n v="9672"/>
    <n v="10155.6"/>
    <n v="483.6"/>
  </r>
  <r>
    <x v="32"/>
    <n v="2025"/>
    <x v="8"/>
    <s v="Bajaj"/>
    <x v="11"/>
    <n v="248"/>
    <s v="151-350"/>
    <x v="1"/>
    <n v="180000"/>
    <n v="0.28000000000000003"/>
    <n v="0.18"/>
    <n v="230400"/>
    <n v="212400"/>
    <n v="-18000"/>
    <n v="1879833600"/>
    <n v="1819620180.0000002"/>
    <n v="8159"/>
    <n v="8566.9500000000007"/>
    <n v="407.95000000000073"/>
  </r>
  <r>
    <x v="0"/>
    <n v="2023"/>
    <x v="0"/>
    <s v="Bajaj"/>
    <x v="12"/>
    <n v="373"/>
    <s v="&gt;350"/>
    <x v="2"/>
    <n v="230000"/>
    <n v="0.28000000000000003"/>
    <n v="0.4"/>
    <n v="294400"/>
    <n v="322000"/>
    <n v="27600"/>
    <n v="2589248000"/>
    <n v="2407191500"/>
    <n v="8795"/>
    <n v="7475.75"/>
    <n v="-1319.25"/>
  </r>
  <r>
    <x v="1"/>
    <n v="2023"/>
    <x v="1"/>
    <s v="Bajaj"/>
    <x v="12"/>
    <n v="373"/>
    <s v="&gt;350"/>
    <x v="2"/>
    <n v="230000"/>
    <n v="0.28000000000000003"/>
    <n v="0.4"/>
    <n v="294400"/>
    <n v="322000"/>
    <n v="27600"/>
    <n v="2482086400"/>
    <n v="2307564700"/>
    <n v="8431"/>
    <n v="7166.3499999999995"/>
    <n v="-1264.6500000000005"/>
  </r>
  <r>
    <x v="2"/>
    <n v="2023"/>
    <x v="2"/>
    <s v="Bajaj"/>
    <x v="12"/>
    <n v="373"/>
    <s v="&gt;350"/>
    <x v="2"/>
    <n v="230000"/>
    <n v="0.28000000000000003"/>
    <n v="0.4"/>
    <n v="294400"/>
    <n v="322000"/>
    <n v="27600"/>
    <n v="3056755200"/>
    <n v="2841827100"/>
    <n v="10383"/>
    <n v="8825.5499999999993"/>
    <n v="-1557.4500000000007"/>
  </r>
  <r>
    <x v="3"/>
    <n v="2023"/>
    <x v="3"/>
    <s v="Bajaj"/>
    <x v="12"/>
    <n v="373"/>
    <s v="&gt;350"/>
    <x v="2"/>
    <n v="230000"/>
    <n v="0.28000000000000003"/>
    <n v="0.4"/>
    <n v="294400"/>
    <n v="322000"/>
    <n v="27600"/>
    <n v="2817408000"/>
    <n v="2619309000"/>
    <n v="9570"/>
    <n v="8134.5"/>
    <n v="-1435.5"/>
  </r>
  <r>
    <x v="4"/>
    <n v="2023"/>
    <x v="4"/>
    <s v="Bajaj"/>
    <x v="12"/>
    <n v="373"/>
    <s v="&gt;350"/>
    <x v="2"/>
    <n v="230000"/>
    <n v="0.28000000000000003"/>
    <n v="0.4"/>
    <n v="294400"/>
    <n v="322000"/>
    <n v="27600"/>
    <n v="2429977600"/>
    <n v="2259119800"/>
    <n v="8254"/>
    <n v="7015.9"/>
    <n v="-1238.1000000000004"/>
  </r>
  <r>
    <x v="5"/>
    <n v="2023"/>
    <x v="5"/>
    <s v="Bajaj"/>
    <x v="12"/>
    <n v="373"/>
    <s v="&gt;350"/>
    <x v="2"/>
    <n v="230000"/>
    <n v="0.28000000000000003"/>
    <n v="0.4"/>
    <n v="294400"/>
    <n v="322000"/>
    <n v="27600"/>
    <n v="2324876800"/>
    <n v="2161408900"/>
    <n v="7897"/>
    <n v="6712.45"/>
    <n v="-1184.5500000000002"/>
  </r>
  <r>
    <x v="6"/>
    <n v="2023"/>
    <x v="6"/>
    <s v="Bajaj"/>
    <x v="12"/>
    <n v="373"/>
    <s v="&gt;350"/>
    <x v="2"/>
    <n v="230000"/>
    <n v="0.28000000000000003"/>
    <n v="0.4"/>
    <n v="294400"/>
    <n v="322000"/>
    <n v="27600"/>
    <n v="2258342400"/>
    <n v="2099552699.9999998"/>
    <n v="7671"/>
    <n v="6520.3499999999995"/>
    <n v="-1150.6500000000005"/>
  </r>
  <r>
    <x v="7"/>
    <n v="2023"/>
    <x v="7"/>
    <s v="Bajaj"/>
    <x v="12"/>
    <n v="373"/>
    <s v="&gt;350"/>
    <x v="2"/>
    <n v="230000"/>
    <n v="0.28000000000000003"/>
    <n v="0.4"/>
    <n v="294400"/>
    <n v="322000"/>
    <n v="27600"/>
    <n v="2265408000"/>
    <n v="2106121500"/>
    <n v="7695"/>
    <n v="6540.75"/>
    <n v="-1154.25"/>
  </r>
  <r>
    <x v="8"/>
    <n v="2023"/>
    <x v="8"/>
    <s v="Bajaj"/>
    <x v="12"/>
    <n v="373"/>
    <s v="&gt;350"/>
    <x v="2"/>
    <n v="230000"/>
    <n v="0.28000000000000003"/>
    <n v="0.4"/>
    <n v="294400"/>
    <n v="322000"/>
    <n v="27600"/>
    <n v="1992793600"/>
    <n v="1852675300"/>
    <n v="6769"/>
    <n v="5753.65"/>
    <n v="-1015.3500000000004"/>
  </r>
  <r>
    <x v="9"/>
    <n v="2023"/>
    <x v="9"/>
    <s v="Bajaj"/>
    <x v="12"/>
    <n v="373"/>
    <s v="&gt;350"/>
    <x v="2"/>
    <n v="230000"/>
    <n v="0.28000000000000003"/>
    <n v="0.4"/>
    <n v="294400"/>
    <n v="322000"/>
    <n v="27600"/>
    <n v="1966297600"/>
    <n v="1828042300"/>
    <n v="6679"/>
    <n v="5677.15"/>
    <n v="-1001.8500000000004"/>
  </r>
  <r>
    <x v="10"/>
    <n v="2023"/>
    <x v="10"/>
    <s v="Bajaj"/>
    <x v="12"/>
    <n v="373"/>
    <s v="&gt;350"/>
    <x v="2"/>
    <n v="230000"/>
    <n v="0.28000000000000003"/>
    <n v="0.4"/>
    <n v="294400"/>
    <n v="322000"/>
    <n v="27600"/>
    <n v="2183564800"/>
    <n v="2030032900"/>
    <n v="7417"/>
    <n v="6304.45"/>
    <n v="-1112.5500000000002"/>
  </r>
  <r>
    <x v="11"/>
    <n v="2023"/>
    <x v="11"/>
    <s v="Bajaj"/>
    <x v="12"/>
    <n v="373"/>
    <s v="&gt;350"/>
    <x v="2"/>
    <n v="230000"/>
    <n v="0.28000000000000003"/>
    <n v="0.4"/>
    <n v="294400"/>
    <n v="322000"/>
    <n v="27600"/>
    <n v="2156185600"/>
    <n v="2004578800"/>
    <n v="7324"/>
    <n v="6225.4"/>
    <n v="-1098.6000000000004"/>
  </r>
  <r>
    <x v="12"/>
    <n v="2024"/>
    <x v="0"/>
    <s v="Bajaj"/>
    <x v="12"/>
    <n v="373"/>
    <s v="&gt;350"/>
    <x v="2"/>
    <n v="230000"/>
    <n v="0.28000000000000003"/>
    <n v="0.4"/>
    <n v="294400"/>
    <n v="322000"/>
    <n v="27600"/>
    <n v="2157657600"/>
    <n v="2005947300"/>
    <n v="7329"/>
    <n v="6229.65"/>
    <n v="-1099.3500000000004"/>
  </r>
  <r>
    <x v="13"/>
    <n v="2024"/>
    <x v="1"/>
    <s v="Bajaj"/>
    <x v="12"/>
    <n v="373"/>
    <s v="&gt;350"/>
    <x v="2"/>
    <n v="230000"/>
    <n v="0.28000000000000003"/>
    <n v="0.4"/>
    <n v="294400"/>
    <n v="322000"/>
    <n v="27600"/>
    <n v="2471782400"/>
    <n v="2297985200"/>
    <n v="8396"/>
    <n v="7136.5999999999995"/>
    <n v="-1259.4000000000005"/>
  </r>
  <r>
    <x v="14"/>
    <n v="2024"/>
    <x v="2"/>
    <s v="Bajaj"/>
    <x v="12"/>
    <n v="373"/>
    <s v="&gt;350"/>
    <x v="2"/>
    <n v="230000"/>
    <n v="0.28000000000000003"/>
    <n v="0.4"/>
    <n v="294400"/>
    <n v="322000"/>
    <n v="27600"/>
    <n v="2573056000"/>
    <n v="2392138000"/>
    <n v="8740"/>
    <n v="7429"/>
    <n v="-1311"/>
  </r>
  <r>
    <x v="15"/>
    <n v="2024"/>
    <x v="3"/>
    <s v="Bajaj"/>
    <x v="12"/>
    <n v="373"/>
    <s v="&gt;350"/>
    <x v="2"/>
    <n v="230000"/>
    <n v="0.28000000000000003"/>
    <n v="0.4"/>
    <n v="294400"/>
    <n v="322000"/>
    <n v="27600"/>
    <n v="2131750400"/>
    <n v="1981861699.9999998"/>
    <n v="7241"/>
    <n v="6154.8499999999995"/>
    <n v="-1086.1500000000005"/>
  </r>
  <r>
    <x v="16"/>
    <n v="2024"/>
    <x v="4"/>
    <s v="Bajaj"/>
    <x v="12"/>
    <n v="373"/>
    <s v="&gt;350"/>
    <x v="2"/>
    <n v="230000"/>
    <n v="0.28000000000000003"/>
    <n v="0.4"/>
    <n v="294400"/>
    <n v="322000"/>
    <n v="27600"/>
    <n v="2568934400"/>
    <n v="2388306200"/>
    <n v="8726"/>
    <n v="7417.0999999999995"/>
    <n v="-1308.9000000000005"/>
  </r>
  <r>
    <x v="17"/>
    <n v="2024"/>
    <x v="5"/>
    <s v="Bajaj"/>
    <x v="12"/>
    <n v="373"/>
    <s v="&gt;350"/>
    <x v="2"/>
    <n v="230000"/>
    <n v="0.28000000000000003"/>
    <n v="0.4"/>
    <n v="294400"/>
    <n v="322000"/>
    <n v="27600"/>
    <n v="1961881600"/>
    <n v="1823936800"/>
    <n v="6664"/>
    <n v="5664.4"/>
    <n v="-999.60000000000036"/>
  </r>
  <r>
    <x v="18"/>
    <n v="2024"/>
    <x v="6"/>
    <s v="Bajaj"/>
    <x v="12"/>
    <n v="373"/>
    <s v="&gt;350"/>
    <x v="2"/>
    <n v="230000"/>
    <n v="0.28000000000000003"/>
    <n v="0.4"/>
    <n v="294400"/>
    <n v="322000"/>
    <n v="27600"/>
    <n v="1984256000"/>
    <n v="1844738000"/>
    <n v="6740"/>
    <n v="5729"/>
    <n v="-1011"/>
  </r>
  <r>
    <x v="19"/>
    <n v="2024"/>
    <x v="7"/>
    <s v="Bajaj"/>
    <x v="12"/>
    <n v="373"/>
    <s v="&gt;350"/>
    <x v="2"/>
    <n v="230000"/>
    <n v="0.28000000000000003"/>
    <n v="0.4"/>
    <n v="294400"/>
    <n v="322000"/>
    <n v="27600"/>
    <n v="2241267200"/>
    <n v="2083678100"/>
    <n v="7613"/>
    <n v="6471.05"/>
    <n v="-1141.9499999999998"/>
  </r>
  <r>
    <x v="20"/>
    <n v="2024"/>
    <x v="8"/>
    <s v="Bajaj"/>
    <x v="12"/>
    <n v="373"/>
    <s v="&gt;350"/>
    <x v="2"/>
    <n v="230000"/>
    <n v="0.28000000000000003"/>
    <n v="0.4"/>
    <n v="294400"/>
    <n v="322000"/>
    <n v="27600"/>
    <n v="1789068800"/>
    <n v="1663274900"/>
    <n v="6077"/>
    <n v="5165.45"/>
    <n v="-911.55000000000018"/>
  </r>
  <r>
    <x v="21"/>
    <n v="2024"/>
    <x v="9"/>
    <s v="Bajaj"/>
    <x v="12"/>
    <n v="373"/>
    <s v="&gt;350"/>
    <x v="2"/>
    <n v="230000"/>
    <n v="0.28000000000000003"/>
    <n v="0.4"/>
    <n v="294400"/>
    <n v="322000"/>
    <n v="27600"/>
    <n v="1754035200"/>
    <n v="1630704600"/>
    <n v="5958"/>
    <n v="5064.3"/>
    <n v="-893.69999999999982"/>
  </r>
  <r>
    <x v="22"/>
    <n v="2024"/>
    <x v="10"/>
    <s v="Bajaj"/>
    <x v="12"/>
    <n v="373"/>
    <s v="&gt;350"/>
    <x v="2"/>
    <n v="230000"/>
    <n v="0.28000000000000003"/>
    <n v="0.4"/>
    <n v="294400"/>
    <n v="322000"/>
    <n v="27600"/>
    <n v="2313984000"/>
    <n v="2151282000"/>
    <n v="7860"/>
    <n v="6681"/>
    <n v="-1179"/>
  </r>
  <r>
    <x v="23"/>
    <n v="2024"/>
    <x v="11"/>
    <s v="Bajaj"/>
    <x v="12"/>
    <n v="373"/>
    <s v="&gt;350"/>
    <x v="2"/>
    <n v="230000"/>
    <n v="0.28000000000000003"/>
    <n v="0.4"/>
    <n v="294400"/>
    <n v="322000"/>
    <n v="27600"/>
    <n v="2263641600"/>
    <n v="2104479300"/>
    <n v="7689"/>
    <n v="6535.65"/>
    <n v="-1153.3500000000004"/>
  </r>
  <r>
    <x v="24"/>
    <n v="2025"/>
    <x v="0"/>
    <s v="Bajaj"/>
    <x v="12"/>
    <n v="373"/>
    <s v="&gt;350"/>
    <x v="2"/>
    <n v="230000"/>
    <n v="0.28000000000000003"/>
    <n v="0.4"/>
    <n v="294400"/>
    <n v="322000"/>
    <n v="27600"/>
    <n v="2768243200"/>
    <n v="2573601100"/>
    <n v="9403"/>
    <n v="7992.55"/>
    <n v="-1410.4499999999998"/>
  </r>
  <r>
    <x v="25"/>
    <n v="2025"/>
    <x v="1"/>
    <s v="Bajaj"/>
    <x v="12"/>
    <n v="373"/>
    <s v="&gt;350"/>
    <x v="2"/>
    <n v="230000"/>
    <n v="0.28000000000000003"/>
    <n v="0.4"/>
    <n v="294400"/>
    <n v="322000"/>
    <n v="27600"/>
    <n v="1893580800"/>
    <n v="1760438400"/>
    <n v="6432"/>
    <n v="5467.2"/>
    <n v="-964.80000000000018"/>
  </r>
  <r>
    <x v="26"/>
    <n v="2025"/>
    <x v="2"/>
    <s v="Bajaj"/>
    <x v="12"/>
    <n v="373"/>
    <s v="&gt;350"/>
    <x v="2"/>
    <n v="230000"/>
    <n v="0.28000000000000003"/>
    <n v="0.4"/>
    <n v="294400"/>
    <n v="322000"/>
    <n v="27600"/>
    <n v="2265996800"/>
    <n v="2106668900"/>
    <n v="7697"/>
    <n v="6542.45"/>
    <n v="-1154.5500000000002"/>
  </r>
  <r>
    <x v="27"/>
    <n v="2025"/>
    <x v="3"/>
    <s v="Bajaj"/>
    <x v="12"/>
    <n v="373"/>
    <s v="&gt;350"/>
    <x v="2"/>
    <n v="230000"/>
    <n v="0.28000000000000003"/>
    <n v="0.4"/>
    <n v="294400"/>
    <n v="322000"/>
    <n v="27600"/>
    <n v="2782963200"/>
    <n v="2587286100"/>
    <n v="9453"/>
    <n v="8035.05"/>
    <n v="-1417.9499999999998"/>
  </r>
  <r>
    <x v="28"/>
    <n v="2025"/>
    <x v="4"/>
    <s v="Bajaj"/>
    <x v="12"/>
    <n v="373"/>
    <s v="&gt;350"/>
    <x v="2"/>
    <n v="230000"/>
    <n v="0.28000000000000003"/>
    <n v="0.4"/>
    <n v="294400"/>
    <n v="322000"/>
    <n v="27600"/>
    <n v="3298163200"/>
    <n v="3066261100"/>
    <n v="11203"/>
    <n v="9522.5499999999993"/>
    <n v="-1680.4500000000007"/>
  </r>
  <r>
    <x v="29"/>
    <n v="2025"/>
    <x v="5"/>
    <s v="Bajaj"/>
    <x v="12"/>
    <n v="373"/>
    <s v="&gt;350"/>
    <x v="2"/>
    <n v="230000"/>
    <n v="0.28000000000000003"/>
    <n v="0.4"/>
    <n v="294400"/>
    <n v="322000"/>
    <n v="27600"/>
    <n v="2047846400"/>
    <n v="1903857199.9999998"/>
    <n v="6956"/>
    <n v="5912.5999999999995"/>
    <n v="-1043.4000000000005"/>
  </r>
  <r>
    <x v="30"/>
    <n v="2025"/>
    <x v="6"/>
    <s v="Bajaj"/>
    <x v="12"/>
    <n v="373"/>
    <s v="&gt;350"/>
    <x v="2"/>
    <n v="230000"/>
    <n v="0.28000000000000003"/>
    <n v="0.4"/>
    <n v="294400"/>
    <n v="322000"/>
    <n v="27600"/>
    <n v="2278067200"/>
    <n v="2117890600"/>
    <n v="7738"/>
    <n v="6577.3"/>
    <n v="-1160.6999999999998"/>
  </r>
  <r>
    <x v="31"/>
    <n v="2025"/>
    <x v="7"/>
    <s v="Bajaj"/>
    <x v="12"/>
    <n v="373"/>
    <s v="&gt;350"/>
    <x v="2"/>
    <n v="230000"/>
    <n v="0.28000000000000003"/>
    <n v="0.4"/>
    <n v="294400"/>
    <n v="322000"/>
    <n v="27600"/>
    <n v="1997504000"/>
    <n v="1857054500"/>
    <n v="6785"/>
    <n v="5767.25"/>
    <n v="-1017.75"/>
  </r>
  <r>
    <x v="32"/>
    <n v="2025"/>
    <x v="8"/>
    <s v="Bajaj"/>
    <x v="12"/>
    <n v="373"/>
    <s v="&gt;350"/>
    <x v="2"/>
    <n v="230000"/>
    <n v="0.28000000000000003"/>
    <n v="0.4"/>
    <n v="294400"/>
    <n v="322000"/>
    <n v="27600"/>
    <n v="2136166400"/>
    <n v="1985967199.9999998"/>
    <n v="7256"/>
    <n v="6167.5999999999995"/>
    <n v="-1088.4000000000005"/>
  </r>
  <r>
    <x v="0"/>
    <n v="2023"/>
    <x v="0"/>
    <s v="Bajaj"/>
    <x v="13"/>
    <n v="373"/>
    <s v="&gt;350"/>
    <x v="2"/>
    <n v="240000"/>
    <n v="0.28000000000000003"/>
    <n v="0.4"/>
    <n v="307200"/>
    <n v="336000"/>
    <n v="28800"/>
    <n v="2024140800"/>
    <n v="1881818399.9999998"/>
    <n v="6589"/>
    <n v="5600.65"/>
    <n v="-988.35000000000036"/>
  </r>
  <r>
    <x v="1"/>
    <n v="2023"/>
    <x v="1"/>
    <s v="Bajaj"/>
    <x v="13"/>
    <n v="373"/>
    <s v="&gt;350"/>
    <x v="2"/>
    <n v="240000"/>
    <n v="0.28000000000000003"/>
    <n v="0.4"/>
    <n v="307200"/>
    <n v="336000"/>
    <n v="28800"/>
    <n v="2004480000"/>
    <n v="1863540000"/>
    <n v="6525"/>
    <n v="5546.25"/>
    <n v="-978.75"/>
  </r>
  <r>
    <x v="2"/>
    <n v="2023"/>
    <x v="2"/>
    <s v="Bajaj"/>
    <x v="13"/>
    <n v="373"/>
    <s v="&gt;350"/>
    <x v="2"/>
    <n v="240000"/>
    <n v="0.28000000000000003"/>
    <n v="0.4"/>
    <n v="307200"/>
    <n v="336000"/>
    <n v="28800"/>
    <n v="1857024000"/>
    <n v="1726452000"/>
    <n v="6045"/>
    <n v="5138.25"/>
    <n v="-906.75"/>
  </r>
  <r>
    <x v="3"/>
    <n v="2023"/>
    <x v="3"/>
    <s v="Bajaj"/>
    <x v="13"/>
    <n v="373"/>
    <s v="&gt;350"/>
    <x v="2"/>
    <n v="240000"/>
    <n v="0.28000000000000003"/>
    <n v="0.4"/>
    <n v="307200"/>
    <n v="336000"/>
    <n v="28800"/>
    <n v="2058854400"/>
    <n v="1914091200"/>
    <n v="6702"/>
    <n v="5696.7"/>
    <n v="-1005.3000000000002"/>
  </r>
  <r>
    <x v="4"/>
    <n v="2023"/>
    <x v="4"/>
    <s v="Bajaj"/>
    <x v="13"/>
    <n v="373"/>
    <s v="&gt;350"/>
    <x v="2"/>
    <n v="240000"/>
    <n v="0.28000000000000003"/>
    <n v="0.4"/>
    <n v="307200"/>
    <n v="336000"/>
    <n v="28800"/>
    <n v="2363904000"/>
    <n v="2197692000"/>
    <n v="7695"/>
    <n v="6540.75"/>
    <n v="-1154.25"/>
  </r>
  <r>
    <x v="5"/>
    <n v="2023"/>
    <x v="5"/>
    <s v="Bajaj"/>
    <x v="13"/>
    <n v="373"/>
    <s v="&gt;350"/>
    <x v="2"/>
    <n v="240000"/>
    <n v="0.28000000000000003"/>
    <n v="0.4"/>
    <n v="307200"/>
    <n v="336000"/>
    <n v="28800"/>
    <n v="1732608000"/>
    <n v="1610784000"/>
    <n v="5640"/>
    <n v="4794"/>
    <n v="-846"/>
  </r>
  <r>
    <x v="6"/>
    <n v="2023"/>
    <x v="6"/>
    <s v="Bajaj"/>
    <x v="13"/>
    <n v="373"/>
    <s v="&gt;350"/>
    <x v="2"/>
    <n v="240000"/>
    <n v="0.28000000000000003"/>
    <n v="0.4"/>
    <n v="307200"/>
    <n v="336000"/>
    <n v="28800"/>
    <n v="1426636800"/>
    <n v="1326326400"/>
    <n v="4644"/>
    <n v="3947.4"/>
    <n v="-696.59999999999991"/>
  </r>
  <r>
    <x v="7"/>
    <n v="2023"/>
    <x v="7"/>
    <s v="Bajaj"/>
    <x v="13"/>
    <n v="373"/>
    <s v="&gt;350"/>
    <x v="2"/>
    <n v="240000"/>
    <n v="0.28000000000000003"/>
    <n v="0.4"/>
    <n v="307200"/>
    <n v="336000"/>
    <n v="28800"/>
    <n v="2001408000"/>
    <n v="1860684000"/>
    <n v="6515"/>
    <n v="5537.75"/>
    <n v="-977.25"/>
  </r>
  <r>
    <x v="8"/>
    <n v="2023"/>
    <x v="8"/>
    <s v="Bajaj"/>
    <x v="13"/>
    <n v="373"/>
    <s v="&gt;350"/>
    <x v="2"/>
    <n v="240000"/>
    <n v="0.28000000000000003"/>
    <n v="0.4"/>
    <n v="307200"/>
    <n v="336000"/>
    <n v="28800"/>
    <n v="1373184000"/>
    <n v="1276632000"/>
    <n v="4470"/>
    <n v="3799.5"/>
    <n v="-670.5"/>
  </r>
  <r>
    <x v="9"/>
    <n v="2023"/>
    <x v="9"/>
    <s v="Bajaj"/>
    <x v="13"/>
    <n v="373"/>
    <s v="&gt;350"/>
    <x v="2"/>
    <n v="240000"/>
    <n v="0.28000000000000003"/>
    <n v="0.4"/>
    <n v="307200"/>
    <n v="336000"/>
    <n v="28800"/>
    <n v="1708339200"/>
    <n v="1588221599.9999998"/>
    <n v="5561"/>
    <n v="4726.8499999999995"/>
    <n v="-834.15000000000055"/>
  </r>
  <r>
    <x v="10"/>
    <n v="2023"/>
    <x v="10"/>
    <s v="Bajaj"/>
    <x v="13"/>
    <n v="373"/>
    <s v="&gt;350"/>
    <x v="2"/>
    <n v="240000"/>
    <n v="0.28000000000000003"/>
    <n v="0.4"/>
    <n v="307200"/>
    <n v="336000"/>
    <n v="28800"/>
    <n v="1781452800"/>
    <n v="1656194399.9999998"/>
    <n v="5799"/>
    <n v="4929.1499999999996"/>
    <n v="-869.85000000000036"/>
  </r>
  <r>
    <x v="11"/>
    <n v="2023"/>
    <x v="11"/>
    <s v="Bajaj"/>
    <x v="13"/>
    <n v="373"/>
    <s v="&gt;350"/>
    <x v="2"/>
    <n v="240000"/>
    <n v="0.28000000000000003"/>
    <n v="0.4"/>
    <n v="307200"/>
    <n v="336000"/>
    <n v="28800"/>
    <n v="1462886400"/>
    <n v="1360027200"/>
    <n v="4762"/>
    <n v="4047.7"/>
    <n v="-714.30000000000018"/>
  </r>
  <r>
    <x v="12"/>
    <n v="2024"/>
    <x v="0"/>
    <s v="Bajaj"/>
    <x v="13"/>
    <n v="373"/>
    <s v="&gt;350"/>
    <x v="2"/>
    <n v="240000"/>
    <n v="0.28000000000000003"/>
    <n v="0.4"/>
    <n v="307200"/>
    <n v="336000"/>
    <n v="28800"/>
    <n v="2009088000"/>
    <n v="1867824000"/>
    <n v="6540"/>
    <n v="5559"/>
    <n v="-981"/>
  </r>
  <r>
    <x v="13"/>
    <n v="2024"/>
    <x v="1"/>
    <s v="Bajaj"/>
    <x v="13"/>
    <n v="373"/>
    <s v="&gt;350"/>
    <x v="2"/>
    <n v="240000"/>
    <n v="0.28000000000000003"/>
    <n v="0.4"/>
    <n v="307200"/>
    <n v="336000"/>
    <n v="28800"/>
    <n v="2256691200"/>
    <n v="2098017599.9999998"/>
    <n v="7346"/>
    <n v="6244.0999999999995"/>
    <n v="-1101.9000000000005"/>
  </r>
  <r>
    <x v="14"/>
    <n v="2024"/>
    <x v="2"/>
    <s v="Bajaj"/>
    <x v="13"/>
    <n v="373"/>
    <s v="&gt;350"/>
    <x v="2"/>
    <n v="240000"/>
    <n v="0.28000000000000003"/>
    <n v="0.4"/>
    <n v="307200"/>
    <n v="336000"/>
    <n v="28800"/>
    <n v="2283724800"/>
    <n v="2123150399.9999998"/>
    <n v="7434"/>
    <n v="6318.9"/>
    <n v="-1115.1000000000004"/>
  </r>
  <r>
    <x v="15"/>
    <n v="2024"/>
    <x v="3"/>
    <s v="Bajaj"/>
    <x v="13"/>
    <n v="373"/>
    <s v="&gt;350"/>
    <x v="2"/>
    <n v="240000"/>
    <n v="0.28000000000000003"/>
    <n v="0.4"/>
    <n v="307200"/>
    <n v="336000"/>
    <n v="28800"/>
    <n v="1981440000"/>
    <n v="1842120000"/>
    <n v="6450"/>
    <n v="5482.5"/>
    <n v="-967.5"/>
  </r>
  <r>
    <x v="16"/>
    <n v="2024"/>
    <x v="4"/>
    <s v="Bajaj"/>
    <x v="13"/>
    <n v="373"/>
    <s v="&gt;350"/>
    <x v="2"/>
    <n v="240000"/>
    <n v="0.28000000000000003"/>
    <n v="0.4"/>
    <n v="307200"/>
    <n v="336000"/>
    <n v="28800"/>
    <n v="2414899200"/>
    <n v="2245101600"/>
    <n v="7861"/>
    <n v="6681.8499999999995"/>
    <n v="-1179.1500000000005"/>
  </r>
  <r>
    <x v="17"/>
    <n v="2024"/>
    <x v="5"/>
    <s v="Bajaj"/>
    <x v="13"/>
    <n v="373"/>
    <s v="&gt;350"/>
    <x v="2"/>
    <n v="240000"/>
    <n v="0.28000000000000003"/>
    <n v="0.4"/>
    <n v="307200"/>
    <n v="336000"/>
    <n v="28800"/>
    <n v="1740902400"/>
    <n v="1618495200"/>
    <n v="5667"/>
    <n v="4816.95"/>
    <n v="-850.05000000000018"/>
  </r>
  <r>
    <x v="18"/>
    <n v="2024"/>
    <x v="6"/>
    <s v="Bajaj"/>
    <x v="13"/>
    <n v="373"/>
    <s v="&gt;350"/>
    <x v="2"/>
    <n v="240000"/>
    <n v="0.28000000000000003"/>
    <n v="0.4"/>
    <n v="307200"/>
    <n v="336000"/>
    <n v="28800"/>
    <n v="1732300800"/>
    <n v="1610498399.9999998"/>
    <n v="5639"/>
    <n v="4793.1499999999996"/>
    <n v="-845.85000000000036"/>
  </r>
  <r>
    <x v="19"/>
    <n v="2024"/>
    <x v="7"/>
    <s v="Bajaj"/>
    <x v="13"/>
    <n v="373"/>
    <s v="&gt;350"/>
    <x v="2"/>
    <n v="240000"/>
    <n v="0.28000000000000003"/>
    <n v="0.4"/>
    <n v="307200"/>
    <n v="336000"/>
    <n v="28800"/>
    <n v="1612185600"/>
    <n v="1498828800"/>
    <n v="5248"/>
    <n v="4460.8"/>
    <n v="-787.19999999999982"/>
  </r>
  <r>
    <x v="20"/>
    <n v="2024"/>
    <x v="8"/>
    <s v="Bajaj"/>
    <x v="13"/>
    <n v="373"/>
    <s v="&gt;350"/>
    <x v="2"/>
    <n v="240000"/>
    <n v="0.28000000000000003"/>
    <n v="0.4"/>
    <n v="307200"/>
    <n v="336000"/>
    <n v="28800"/>
    <n v="1512038400"/>
    <n v="1405723200"/>
    <n v="4922"/>
    <n v="4183.7"/>
    <n v="-738.30000000000018"/>
  </r>
  <r>
    <x v="21"/>
    <n v="2024"/>
    <x v="9"/>
    <s v="Bajaj"/>
    <x v="13"/>
    <n v="373"/>
    <s v="&gt;350"/>
    <x v="2"/>
    <n v="240000"/>
    <n v="0.28000000000000003"/>
    <n v="0.4"/>
    <n v="307200"/>
    <n v="336000"/>
    <n v="28800"/>
    <n v="1606348800"/>
    <n v="1493402399.9999998"/>
    <n v="5229"/>
    <n v="4444.6499999999996"/>
    <n v="-784.35000000000036"/>
  </r>
  <r>
    <x v="22"/>
    <n v="2024"/>
    <x v="10"/>
    <s v="Bajaj"/>
    <x v="13"/>
    <n v="373"/>
    <s v="&gt;350"/>
    <x v="2"/>
    <n v="240000"/>
    <n v="0.28000000000000003"/>
    <n v="0.4"/>
    <n v="307200"/>
    <n v="336000"/>
    <n v="28800"/>
    <n v="1900953600"/>
    <n v="1767292800"/>
    <n v="6188"/>
    <n v="5259.8"/>
    <n v="-928.19999999999982"/>
  </r>
  <r>
    <x v="23"/>
    <n v="2024"/>
    <x v="11"/>
    <s v="Bajaj"/>
    <x v="13"/>
    <n v="373"/>
    <s v="&gt;350"/>
    <x v="2"/>
    <n v="240000"/>
    <n v="0.28000000000000003"/>
    <n v="0.4"/>
    <n v="307200"/>
    <n v="336000"/>
    <n v="28800"/>
    <n v="2035507200"/>
    <n v="1892385599.9999998"/>
    <n v="6626"/>
    <n v="5632.0999999999995"/>
    <n v="-993.90000000000055"/>
  </r>
  <r>
    <x v="24"/>
    <n v="2025"/>
    <x v="0"/>
    <s v="Bajaj"/>
    <x v="13"/>
    <n v="373"/>
    <s v="&gt;350"/>
    <x v="2"/>
    <n v="240000"/>
    <n v="0.28000000000000003"/>
    <n v="0.4"/>
    <n v="307200"/>
    <n v="336000"/>
    <n v="28800"/>
    <n v="1844736000"/>
    <n v="1715028000"/>
    <n v="6005"/>
    <n v="5104.25"/>
    <n v="-900.75"/>
  </r>
  <r>
    <x v="25"/>
    <n v="2025"/>
    <x v="1"/>
    <s v="Bajaj"/>
    <x v="13"/>
    <n v="373"/>
    <s v="&gt;350"/>
    <x v="2"/>
    <n v="240000"/>
    <n v="0.28000000000000003"/>
    <n v="0.4"/>
    <n v="307200"/>
    <n v="336000"/>
    <n v="28800"/>
    <n v="2172825600"/>
    <n v="2020048800"/>
    <n v="7073"/>
    <n v="6012.05"/>
    <n v="-1060.9499999999998"/>
  </r>
  <r>
    <x v="26"/>
    <n v="2025"/>
    <x v="2"/>
    <s v="Bajaj"/>
    <x v="13"/>
    <n v="373"/>
    <s v="&gt;350"/>
    <x v="2"/>
    <n v="240000"/>
    <n v="0.28000000000000003"/>
    <n v="0.4"/>
    <n v="307200"/>
    <n v="336000"/>
    <n v="28800"/>
    <n v="1866240000"/>
    <n v="1735020000"/>
    <n v="6075"/>
    <n v="5163.75"/>
    <n v="-911.25"/>
  </r>
  <r>
    <x v="27"/>
    <n v="2025"/>
    <x v="3"/>
    <s v="Bajaj"/>
    <x v="13"/>
    <n v="373"/>
    <s v="&gt;350"/>
    <x v="2"/>
    <n v="240000"/>
    <n v="0.28000000000000003"/>
    <n v="0.4"/>
    <n v="307200"/>
    <n v="336000"/>
    <n v="28800"/>
    <n v="2170675200"/>
    <n v="2018049599.9999998"/>
    <n v="7066"/>
    <n v="6006.0999999999995"/>
    <n v="-1059.9000000000005"/>
  </r>
  <r>
    <x v="28"/>
    <n v="2025"/>
    <x v="4"/>
    <s v="Bajaj"/>
    <x v="13"/>
    <n v="373"/>
    <s v="&gt;350"/>
    <x v="2"/>
    <n v="240000"/>
    <n v="0.28000000000000003"/>
    <n v="0.4"/>
    <n v="307200"/>
    <n v="336000"/>
    <n v="28800"/>
    <n v="2111385600"/>
    <n v="1962928800"/>
    <n v="6873"/>
    <n v="5842.05"/>
    <n v="-1030.9499999999998"/>
  </r>
  <r>
    <x v="29"/>
    <n v="2025"/>
    <x v="5"/>
    <s v="Bajaj"/>
    <x v="13"/>
    <n v="373"/>
    <s v="&gt;350"/>
    <x v="2"/>
    <n v="240000"/>
    <n v="0.28000000000000003"/>
    <n v="0.4"/>
    <n v="307200"/>
    <n v="336000"/>
    <n v="28800"/>
    <n v="1810636800"/>
    <n v="1683326399.9999998"/>
    <n v="5894"/>
    <n v="5009.8999999999996"/>
    <n v="-884.10000000000036"/>
  </r>
  <r>
    <x v="30"/>
    <n v="2025"/>
    <x v="6"/>
    <s v="Bajaj"/>
    <x v="13"/>
    <n v="373"/>
    <s v="&gt;350"/>
    <x v="2"/>
    <n v="240000"/>
    <n v="0.28000000000000003"/>
    <n v="0.4"/>
    <n v="307200"/>
    <n v="336000"/>
    <n v="28800"/>
    <n v="1647513600"/>
    <n v="1531672800"/>
    <n v="5363"/>
    <n v="4558.55"/>
    <n v="-804.44999999999982"/>
  </r>
  <r>
    <x v="31"/>
    <n v="2025"/>
    <x v="7"/>
    <s v="Bajaj"/>
    <x v="13"/>
    <n v="373"/>
    <s v="&gt;350"/>
    <x v="2"/>
    <n v="240000"/>
    <n v="0.28000000000000003"/>
    <n v="0.4"/>
    <n v="307200"/>
    <n v="336000"/>
    <n v="28800"/>
    <n v="1652736000"/>
    <n v="1536528000"/>
    <n v="5380"/>
    <n v="4573"/>
    <n v="-807"/>
  </r>
  <r>
    <x v="32"/>
    <n v="2025"/>
    <x v="8"/>
    <s v="Bajaj"/>
    <x v="13"/>
    <n v="373"/>
    <s v="&gt;350"/>
    <x v="2"/>
    <n v="240000"/>
    <n v="0.28000000000000003"/>
    <n v="0.4"/>
    <n v="307200"/>
    <n v="336000"/>
    <n v="28800"/>
    <n v="1607884800"/>
    <n v="1494830399.9999998"/>
    <n v="5234"/>
    <n v="4448.8999999999996"/>
    <n v="-785.10000000000036"/>
  </r>
  <r>
    <x v="0"/>
    <n v="2023"/>
    <x v="0"/>
    <s v="Bajaj"/>
    <x v="14"/>
    <n v="373"/>
    <s v="&gt;350"/>
    <x v="2"/>
    <n v="245000"/>
    <n v="0.28000000000000003"/>
    <n v="0.4"/>
    <n v="313600"/>
    <n v="343000"/>
    <n v="29400"/>
    <n v="1706611200"/>
    <n v="1586615100"/>
    <n v="5442"/>
    <n v="4625.7"/>
    <n v="-816.30000000000018"/>
  </r>
  <r>
    <x v="1"/>
    <n v="2023"/>
    <x v="1"/>
    <s v="Bajaj"/>
    <x v="14"/>
    <n v="373"/>
    <s v="&gt;350"/>
    <x v="2"/>
    <n v="245000"/>
    <n v="0.28000000000000003"/>
    <n v="0.4"/>
    <n v="313600"/>
    <n v="343000"/>
    <n v="29400"/>
    <n v="1514688000"/>
    <n v="1408186500"/>
    <n v="4830"/>
    <n v="4105.5"/>
    <n v="-724.5"/>
  </r>
  <r>
    <x v="2"/>
    <n v="2023"/>
    <x v="2"/>
    <s v="Bajaj"/>
    <x v="14"/>
    <n v="373"/>
    <s v="&gt;350"/>
    <x v="2"/>
    <n v="245000"/>
    <n v="0.28000000000000003"/>
    <n v="0.4"/>
    <n v="313600"/>
    <n v="343000"/>
    <n v="29400"/>
    <n v="1705356800"/>
    <n v="1585448900"/>
    <n v="5438"/>
    <n v="4622.3"/>
    <n v="-815.69999999999982"/>
  </r>
  <r>
    <x v="3"/>
    <n v="2023"/>
    <x v="3"/>
    <s v="Bajaj"/>
    <x v="14"/>
    <n v="373"/>
    <s v="&gt;350"/>
    <x v="2"/>
    <n v="245000"/>
    <n v="0.28000000000000003"/>
    <n v="0.4"/>
    <n v="313600"/>
    <n v="343000"/>
    <n v="29400"/>
    <n v="1887558400"/>
    <n v="1754839449.9999998"/>
    <n v="6019"/>
    <n v="5116.1499999999996"/>
    <n v="-902.85000000000036"/>
  </r>
  <r>
    <x v="4"/>
    <n v="2023"/>
    <x v="4"/>
    <s v="Bajaj"/>
    <x v="14"/>
    <n v="373"/>
    <s v="&gt;350"/>
    <x v="2"/>
    <n v="245000"/>
    <n v="0.28000000000000003"/>
    <n v="0.4"/>
    <n v="313600"/>
    <n v="343000"/>
    <n v="29400"/>
    <n v="1814803200"/>
    <n v="1687199850"/>
    <n v="5787"/>
    <n v="4918.95"/>
    <n v="-868.05000000000018"/>
  </r>
  <r>
    <x v="5"/>
    <n v="2023"/>
    <x v="5"/>
    <s v="Bajaj"/>
    <x v="14"/>
    <n v="373"/>
    <s v="&gt;350"/>
    <x v="2"/>
    <n v="245000"/>
    <n v="0.28000000000000003"/>
    <n v="0.4"/>
    <n v="313600"/>
    <n v="343000"/>
    <n v="29400"/>
    <n v="1804140800"/>
    <n v="1677287150"/>
    <n v="5753"/>
    <n v="4890.05"/>
    <n v="-862.94999999999982"/>
  </r>
  <r>
    <x v="6"/>
    <n v="2023"/>
    <x v="6"/>
    <s v="Bajaj"/>
    <x v="14"/>
    <n v="373"/>
    <s v="&gt;350"/>
    <x v="2"/>
    <n v="245000"/>
    <n v="0.28000000000000003"/>
    <n v="0.4"/>
    <n v="313600"/>
    <n v="343000"/>
    <n v="29400"/>
    <n v="1463571200"/>
    <n v="1360663850"/>
    <n v="4667"/>
    <n v="3966.95"/>
    <n v="-700.05000000000018"/>
  </r>
  <r>
    <x v="7"/>
    <n v="2023"/>
    <x v="7"/>
    <s v="Bajaj"/>
    <x v="14"/>
    <n v="373"/>
    <s v="&gt;350"/>
    <x v="2"/>
    <n v="245000"/>
    <n v="0.28000000000000003"/>
    <n v="0.4"/>
    <n v="313600"/>
    <n v="343000"/>
    <n v="29400"/>
    <n v="1468588800"/>
    <n v="1365328650"/>
    <n v="4683"/>
    <n v="3980.5499999999997"/>
    <n v="-702.45000000000027"/>
  </r>
  <r>
    <x v="8"/>
    <n v="2023"/>
    <x v="8"/>
    <s v="Bajaj"/>
    <x v="14"/>
    <n v="373"/>
    <s v="&gt;350"/>
    <x v="2"/>
    <n v="245000"/>
    <n v="0.28000000000000003"/>
    <n v="0.4"/>
    <n v="313600"/>
    <n v="343000"/>
    <n v="29400"/>
    <n v="1229625600"/>
    <n v="1143167550"/>
    <n v="3921"/>
    <n v="3332.85"/>
    <n v="-588.15000000000009"/>
  </r>
  <r>
    <x v="9"/>
    <n v="2023"/>
    <x v="9"/>
    <s v="Bajaj"/>
    <x v="14"/>
    <n v="373"/>
    <s v="&gt;350"/>
    <x v="2"/>
    <n v="245000"/>
    <n v="0.28000000000000003"/>
    <n v="0.4"/>
    <n v="313600"/>
    <n v="343000"/>
    <n v="29400"/>
    <n v="1173491200"/>
    <n v="1090980100"/>
    <n v="3742"/>
    <n v="3180.7"/>
    <n v="-561.30000000000018"/>
  </r>
  <r>
    <x v="10"/>
    <n v="2023"/>
    <x v="10"/>
    <s v="Bajaj"/>
    <x v="14"/>
    <n v="373"/>
    <s v="&gt;350"/>
    <x v="2"/>
    <n v="245000"/>
    <n v="0.28000000000000003"/>
    <n v="0.4"/>
    <n v="313600"/>
    <n v="343000"/>
    <n v="29400"/>
    <n v="1278233600"/>
    <n v="1188357800"/>
    <n v="4076"/>
    <n v="3464.6"/>
    <n v="-611.40000000000009"/>
  </r>
  <r>
    <x v="11"/>
    <n v="2023"/>
    <x v="11"/>
    <s v="Bajaj"/>
    <x v="14"/>
    <n v="373"/>
    <s v="&gt;350"/>
    <x v="2"/>
    <n v="245000"/>
    <n v="0.28000000000000003"/>
    <n v="0.4"/>
    <n v="313600"/>
    <n v="343000"/>
    <n v="29400"/>
    <n v="1617862400"/>
    <n v="1504106449.9999998"/>
    <n v="5159"/>
    <n v="4385.1499999999996"/>
    <n v="-773.85000000000036"/>
  </r>
  <r>
    <x v="12"/>
    <n v="2024"/>
    <x v="0"/>
    <s v="Bajaj"/>
    <x v="14"/>
    <n v="373"/>
    <s v="&gt;350"/>
    <x v="2"/>
    <n v="245000"/>
    <n v="0.28000000000000003"/>
    <n v="0.4"/>
    <n v="313600"/>
    <n v="343000"/>
    <n v="29400"/>
    <n v="1976307200"/>
    <n v="1837348100"/>
    <n v="6302"/>
    <n v="5356.7"/>
    <n v="-945.30000000000018"/>
  </r>
  <r>
    <x v="13"/>
    <n v="2024"/>
    <x v="1"/>
    <s v="Bajaj"/>
    <x v="14"/>
    <n v="373"/>
    <s v="&gt;350"/>
    <x v="2"/>
    <n v="245000"/>
    <n v="0.28000000000000003"/>
    <n v="0.4"/>
    <n v="313600"/>
    <n v="343000"/>
    <n v="29400"/>
    <n v="1674624000"/>
    <n v="1556877000"/>
    <n v="5340"/>
    <n v="4539"/>
    <n v="-801"/>
  </r>
  <r>
    <x v="14"/>
    <n v="2024"/>
    <x v="2"/>
    <s v="Bajaj"/>
    <x v="14"/>
    <n v="373"/>
    <s v="&gt;350"/>
    <x v="2"/>
    <n v="245000"/>
    <n v="0.28000000000000003"/>
    <n v="0.4"/>
    <n v="313600"/>
    <n v="343000"/>
    <n v="29400"/>
    <n v="1901670400"/>
    <n v="1767959199.9999998"/>
    <n v="6064"/>
    <n v="5154.3999999999996"/>
    <n v="-909.60000000000036"/>
  </r>
  <r>
    <x v="15"/>
    <n v="2024"/>
    <x v="3"/>
    <s v="Bajaj"/>
    <x v="14"/>
    <n v="373"/>
    <s v="&gt;350"/>
    <x v="2"/>
    <n v="245000"/>
    <n v="0.28000000000000003"/>
    <n v="0.4"/>
    <n v="313600"/>
    <n v="343000"/>
    <n v="29400"/>
    <n v="1788147200"/>
    <n v="1662418100"/>
    <n v="5702"/>
    <n v="4846.7"/>
    <n v="-855.30000000000018"/>
  </r>
  <r>
    <x v="16"/>
    <n v="2024"/>
    <x v="4"/>
    <s v="Bajaj"/>
    <x v="14"/>
    <n v="373"/>
    <s v="&gt;350"/>
    <x v="2"/>
    <n v="245000"/>
    <n v="0.28000000000000003"/>
    <n v="0.4"/>
    <n v="313600"/>
    <n v="343000"/>
    <n v="29400"/>
    <n v="1626329600"/>
    <n v="1511978299.9999998"/>
    <n v="5186"/>
    <n v="4408.0999999999995"/>
    <n v="-777.90000000000055"/>
  </r>
  <r>
    <x v="17"/>
    <n v="2024"/>
    <x v="5"/>
    <s v="Bajaj"/>
    <x v="14"/>
    <n v="373"/>
    <s v="&gt;350"/>
    <x v="2"/>
    <n v="245000"/>
    <n v="0.28000000000000003"/>
    <n v="0.4"/>
    <n v="313600"/>
    <n v="343000"/>
    <n v="29400"/>
    <n v="1518137600"/>
    <n v="1411393549.9999998"/>
    <n v="4841"/>
    <n v="4114.8499999999995"/>
    <n v="-726.15000000000055"/>
  </r>
  <r>
    <x v="18"/>
    <n v="2024"/>
    <x v="6"/>
    <s v="Bajaj"/>
    <x v="14"/>
    <n v="373"/>
    <s v="&gt;350"/>
    <x v="2"/>
    <n v="245000"/>
    <n v="0.28000000000000003"/>
    <n v="0.4"/>
    <n v="313600"/>
    <n v="343000"/>
    <n v="29400"/>
    <n v="1316492800"/>
    <n v="1223926900"/>
    <n v="4198"/>
    <n v="3568.2999999999997"/>
    <n v="-629.70000000000027"/>
  </r>
  <r>
    <x v="19"/>
    <n v="2024"/>
    <x v="7"/>
    <s v="Bajaj"/>
    <x v="14"/>
    <n v="373"/>
    <s v="&gt;350"/>
    <x v="2"/>
    <n v="245000"/>
    <n v="0.28000000000000003"/>
    <n v="0.4"/>
    <n v="313600"/>
    <n v="343000"/>
    <n v="29400"/>
    <n v="1290150400"/>
    <n v="1199436700"/>
    <n v="4114"/>
    <n v="3496.9"/>
    <n v="-617.09999999999991"/>
  </r>
  <r>
    <x v="20"/>
    <n v="2024"/>
    <x v="8"/>
    <s v="Bajaj"/>
    <x v="14"/>
    <n v="373"/>
    <s v="&gt;350"/>
    <x v="2"/>
    <n v="245000"/>
    <n v="0.28000000000000003"/>
    <n v="0.4"/>
    <n v="313600"/>
    <n v="343000"/>
    <n v="29400"/>
    <n v="1261299200"/>
    <n v="1172614100"/>
    <n v="4022"/>
    <n v="3418.7"/>
    <n v="-603.30000000000018"/>
  </r>
  <r>
    <x v="21"/>
    <n v="2024"/>
    <x v="9"/>
    <s v="Bajaj"/>
    <x v="14"/>
    <n v="373"/>
    <s v="&gt;350"/>
    <x v="2"/>
    <n v="245000"/>
    <n v="0.28000000000000003"/>
    <n v="0.4"/>
    <n v="313600"/>
    <n v="343000"/>
    <n v="29400"/>
    <n v="1345971200"/>
    <n v="1251332600"/>
    <n v="4292"/>
    <n v="3648.2"/>
    <n v="-643.80000000000018"/>
  </r>
  <r>
    <x v="22"/>
    <n v="2024"/>
    <x v="10"/>
    <s v="Bajaj"/>
    <x v="14"/>
    <n v="373"/>
    <s v="&gt;350"/>
    <x v="2"/>
    <n v="245000"/>
    <n v="0.28000000000000003"/>
    <n v="0.4"/>
    <n v="313600"/>
    <n v="343000"/>
    <n v="29400"/>
    <n v="1358828800"/>
    <n v="1263286150"/>
    <n v="4333"/>
    <n v="3683.0499999999997"/>
    <n v="-649.95000000000027"/>
  </r>
  <r>
    <x v="23"/>
    <n v="2024"/>
    <x v="11"/>
    <s v="Bajaj"/>
    <x v="14"/>
    <n v="373"/>
    <s v="&gt;350"/>
    <x v="2"/>
    <n v="245000"/>
    <n v="0.28000000000000003"/>
    <n v="0.4"/>
    <n v="313600"/>
    <n v="343000"/>
    <n v="29400"/>
    <n v="1463257600"/>
    <n v="1360372300"/>
    <n v="4666"/>
    <n v="3966.1"/>
    <n v="-699.90000000000009"/>
  </r>
  <r>
    <x v="24"/>
    <n v="2025"/>
    <x v="0"/>
    <s v="Bajaj"/>
    <x v="14"/>
    <n v="373"/>
    <s v="&gt;350"/>
    <x v="2"/>
    <n v="245000"/>
    <n v="0.28000000000000003"/>
    <n v="0.4"/>
    <n v="313600"/>
    <n v="343000"/>
    <n v="29400"/>
    <n v="1648595200"/>
    <n v="1532678350"/>
    <n v="5257"/>
    <n v="4468.45"/>
    <n v="-788.55000000000018"/>
  </r>
  <r>
    <x v="25"/>
    <n v="2025"/>
    <x v="1"/>
    <s v="Bajaj"/>
    <x v="14"/>
    <n v="373"/>
    <s v="&gt;350"/>
    <x v="2"/>
    <n v="245000"/>
    <n v="0.28000000000000003"/>
    <n v="0.4"/>
    <n v="313600"/>
    <n v="343000"/>
    <n v="29400"/>
    <n v="1753651200"/>
    <n v="1630347600"/>
    <n v="5592"/>
    <n v="4753.2"/>
    <n v="-838.80000000000018"/>
  </r>
  <r>
    <x v="26"/>
    <n v="2025"/>
    <x v="2"/>
    <s v="Bajaj"/>
    <x v="14"/>
    <n v="373"/>
    <s v="&gt;350"/>
    <x v="2"/>
    <n v="245000"/>
    <n v="0.28000000000000003"/>
    <n v="0.4"/>
    <n v="313600"/>
    <n v="343000"/>
    <n v="29400"/>
    <n v="1790342400"/>
    <n v="1664458949.9999998"/>
    <n v="5709"/>
    <n v="4852.6499999999996"/>
    <n v="-856.35000000000036"/>
  </r>
  <r>
    <x v="27"/>
    <n v="2025"/>
    <x v="3"/>
    <s v="Bajaj"/>
    <x v="14"/>
    <n v="373"/>
    <s v="&gt;350"/>
    <x v="2"/>
    <n v="245000"/>
    <n v="0.28000000000000003"/>
    <n v="0.4"/>
    <n v="313600"/>
    <n v="343000"/>
    <n v="29400"/>
    <n v="1701907200"/>
    <n v="1582241850"/>
    <n v="5427"/>
    <n v="4612.95"/>
    <n v="-814.05000000000018"/>
  </r>
  <r>
    <x v="28"/>
    <n v="2025"/>
    <x v="4"/>
    <s v="Bajaj"/>
    <x v="14"/>
    <n v="373"/>
    <s v="&gt;350"/>
    <x v="2"/>
    <n v="245000"/>
    <n v="0.28000000000000003"/>
    <n v="0.4"/>
    <n v="313600"/>
    <n v="343000"/>
    <n v="29400"/>
    <n v="1661452800"/>
    <n v="1544631900"/>
    <n v="5298"/>
    <n v="4503.3"/>
    <n v="-794.69999999999982"/>
  </r>
  <r>
    <x v="29"/>
    <n v="2025"/>
    <x v="5"/>
    <s v="Bajaj"/>
    <x v="14"/>
    <n v="373"/>
    <s v="&gt;350"/>
    <x v="2"/>
    <n v="245000"/>
    <n v="0.28000000000000003"/>
    <n v="0.4"/>
    <n v="313600"/>
    <n v="343000"/>
    <n v="29400"/>
    <n v="1507475200"/>
    <n v="1401480850"/>
    <n v="4807"/>
    <n v="4085.95"/>
    <n v="-721.05000000000018"/>
  </r>
  <r>
    <x v="30"/>
    <n v="2025"/>
    <x v="6"/>
    <s v="Bajaj"/>
    <x v="14"/>
    <n v="373"/>
    <s v="&gt;350"/>
    <x v="2"/>
    <n v="245000"/>
    <n v="0.28000000000000003"/>
    <n v="0.4"/>
    <n v="313600"/>
    <n v="343000"/>
    <n v="29400"/>
    <n v="1267257600"/>
    <n v="1178153550"/>
    <n v="4041"/>
    <n v="3434.85"/>
    <n v="-606.15000000000009"/>
  </r>
  <r>
    <x v="31"/>
    <n v="2025"/>
    <x v="7"/>
    <s v="Bajaj"/>
    <x v="14"/>
    <n v="373"/>
    <s v="&gt;350"/>
    <x v="2"/>
    <n v="245000"/>
    <n v="0.28000000000000003"/>
    <n v="0.4"/>
    <n v="313600"/>
    <n v="343000"/>
    <n v="29400"/>
    <n v="1413395200"/>
    <n v="1314015850"/>
    <n v="4507"/>
    <n v="3830.95"/>
    <n v="-676.05000000000018"/>
  </r>
  <r>
    <x v="32"/>
    <n v="2025"/>
    <x v="8"/>
    <s v="Bajaj"/>
    <x v="14"/>
    <n v="373"/>
    <s v="&gt;350"/>
    <x v="2"/>
    <n v="245000"/>
    <s v="c"/>
    <n v="0.4"/>
    <n v="313600"/>
    <n v="343000"/>
    <n v="29400"/>
    <n v="1607513600"/>
    <n v="1494485299.9999998"/>
    <n v="5126"/>
    <n v="4357.0999999999995"/>
    <n v="-768.9000000000005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5">
  <r>
    <s v="Jan"/>
    <s v="Bajaj"/>
    <s v="Platina 100"/>
    <n v="102"/>
    <s v="&lt;=150"/>
    <x v="0"/>
    <n v="65000"/>
    <n v="0.28000000000000003"/>
    <n v="0.18"/>
    <n v="83200"/>
    <n v="76700"/>
    <n v="-6500"/>
    <n v="8713619200"/>
    <n v="9237797855"/>
    <n v="104731"/>
    <n v="120440.65"/>
    <n v="15709.649999999994"/>
    <n v="524178655"/>
  </r>
  <r>
    <s v="Feb"/>
    <s v="Bajaj"/>
    <s v="Platina 100"/>
    <n v="102"/>
    <s v="&lt;=150"/>
    <x v="0"/>
    <n v="65000"/>
    <n v="0.28000000000000003"/>
    <n v="0.18"/>
    <n v="83200"/>
    <n v="76700"/>
    <n v="-6500"/>
    <n v="6999449600"/>
    <n v="7420510240"/>
    <n v="84128"/>
    <n v="96747.199999999997"/>
    <n v="12619.199999999997"/>
    <n v="421060640"/>
  </r>
  <r>
    <s v="Mar"/>
    <s v="Bajaj"/>
    <s v="Platina 100"/>
    <n v="102"/>
    <s v="&lt;=150"/>
    <x v="0"/>
    <n v="65000"/>
    <n v="0.28000000000000003"/>
    <n v="0.18"/>
    <n v="83200"/>
    <n v="76700"/>
    <n v="-6500"/>
    <n v="8298534400"/>
    <n v="8797743110"/>
    <n v="99742"/>
    <n v="114703.29999999999"/>
    <n v="14961.299999999988"/>
    <n v="499208710"/>
  </r>
  <r>
    <s v="Apr"/>
    <s v="Bajaj"/>
    <s v="Platina 100"/>
    <n v="102"/>
    <s v="&lt;=150"/>
    <x v="0"/>
    <n v="65000"/>
    <n v="0.28000000000000003"/>
    <n v="0.18"/>
    <n v="83200"/>
    <n v="76700"/>
    <n v="-6500"/>
    <n v="9394694400"/>
    <n v="9959843985"/>
    <n v="112917"/>
    <n v="129854.54999999999"/>
    <n v="16937.549999999988"/>
    <n v="565149585"/>
  </r>
  <r>
    <s v="May"/>
    <s v="Bajaj"/>
    <s v="Platina 100"/>
    <n v="102"/>
    <s v="&lt;=150"/>
    <x v="0"/>
    <n v="65000"/>
    <n v="0.28000000000000003"/>
    <n v="0.18"/>
    <n v="83200"/>
    <n v="76700"/>
    <n v="-6500"/>
    <n v="8410438400"/>
    <n v="8916378835"/>
    <n v="101087"/>
    <n v="116250.04999999999"/>
    <n v="15163.049999999988"/>
    <n v="505940435"/>
  </r>
  <r>
    <s v="Jun"/>
    <s v="Bajaj"/>
    <s v="Platina 100"/>
    <n v="102"/>
    <s v="&lt;=150"/>
    <x v="0"/>
    <n v="65000"/>
    <n v="0.28000000000000003"/>
    <n v="0.18"/>
    <n v="83200"/>
    <n v="76700"/>
    <n v="-6500"/>
    <n v="8232473600"/>
    <n v="8727708340"/>
    <n v="98948"/>
    <n v="113790.2"/>
    <n v="14842.199999999997"/>
    <n v="495234740"/>
  </r>
  <r>
    <s v="Jul"/>
    <s v="Bajaj"/>
    <s v="Platina 100"/>
    <n v="102"/>
    <s v="&lt;=150"/>
    <x v="0"/>
    <n v="65000"/>
    <n v="0.28000000000000003"/>
    <n v="0.18"/>
    <n v="83200"/>
    <n v="76700"/>
    <n v="-6500"/>
    <n v="7774540800"/>
    <n v="8242228019.999999"/>
    <n v="93444"/>
    <n v="107460.59999999999"/>
    <n v="14016.599999999991"/>
    <n v="467687219.99999905"/>
  </r>
  <r>
    <s v="Aug"/>
    <s v="Bajaj"/>
    <s v="Platina 100"/>
    <n v="102"/>
    <s v="&lt;=150"/>
    <x v="0"/>
    <n v="65000"/>
    <n v="0.28000000000000003"/>
    <n v="0.18"/>
    <n v="83200"/>
    <n v="76700"/>
    <n v="-6500"/>
    <n v="6396083200"/>
    <n v="6780847580"/>
    <n v="76876"/>
    <n v="88407.4"/>
    <n v="11531.399999999994"/>
    <n v="384764380"/>
  </r>
  <r>
    <s v="Sep"/>
    <s v="Bajaj"/>
    <s v="Platina 100"/>
    <n v="102"/>
    <s v="&lt;=150"/>
    <x v="0"/>
    <n v="65000"/>
    <n v="0.28000000000000003"/>
    <n v="0.18"/>
    <n v="83200"/>
    <n v="76700"/>
    <n v="-6500"/>
    <n v="6806092800"/>
    <n v="7215521819.999999"/>
    <n v="81804"/>
    <n v="94074.599999999991"/>
    <n v="12270.599999999991"/>
    <n v="409429019.99999905"/>
  </r>
  <r>
    <s v="Oct"/>
    <s v="Bajaj"/>
    <s v="Platina 100"/>
    <n v="102"/>
    <s v="&lt;=150"/>
    <x v="0"/>
    <n v="65000"/>
    <n v="0.28000000000000003"/>
    <n v="0.18"/>
    <n v="83200"/>
    <n v="76700"/>
    <n v="-6500"/>
    <n v="6043481600"/>
    <n v="6407034790"/>
    <n v="72638"/>
    <n v="83533.7"/>
    <n v="10895.699999999997"/>
    <n v="363553190"/>
  </r>
  <r>
    <s v="Nov"/>
    <s v="Bajaj"/>
    <s v="Platina 100"/>
    <n v="102"/>
    <s v="&lt;=150"/>
    <x v="0"/>
    <n v="65000"/>
    <n v="0.28000000000000003"/>
    <n v="0.18"/>
    <n v="83200"/>
    <n v="76700"/>
    <n v="-6500"/>
    <n v="4267910400"/>
    <n v="4524651885"/>
    <n v="51297"/>
    <n v="58991.549999999996"/>
    <n v="7694.5499999999956"/>
    <n v="256741485"/>
  </r>
  <r>
    <s v="Dec"/>
    <s v="Bajaj"/>
    <s v="Platina 100"/>
    <n v="102"/>
    <s v="&lt;=150"/>
    <x v="0"/>
    <n v="65000"/>
    <n v="0.28000000000000003"/>
    <n v="0.18"/>
    <n v="83200"/>
    <n v="76700"/>
    <n v="-6500"/>
    <n v="8112416000"/>
    <n v="8600428524.9999981"/>
    <n v="97505"/>
    <n v="112130.74999999999"/>
    <n v="14625.749999999985"/>
    <n v="488012524.99999809"/>
  </r>
  <r>
    <s v="Jan"/>
    <s v="Bajaj"/>
    <s v="Platina 100"/>
    <n v="102"/>
    <s v="&lt;=150"/>
    <x v="0"/>
    <n v="65000"/>
    <n v="0.28000000000000003"/>
    <n v="0.18"/>
    <n v="83200"/>
    <n v="76700"/>
    <n v="-6500"/>
    <n v="9333126400"/>
    <n v="9894572285"/>
    <n v="112177"/>
    <n v="129003.54999999999"/>
    <n v="16826.549999999988"/>
    <n v="561445885"/>
  </r>
  <r>
    <s v="Feb"/>
    <s v="Bajaj"/>
    <s v="Platina 100"/>
    <n v="102"/>
    <s v="&lt;=150"/>
    <x v="0"/>
    <n v="65000"/>
    <n v="0.28000000000000003"/>
    <n v="0.18"/>
    <n v="83200"/>
    <n v="76700"/>
    <n v="-6500"/>
    <n v="8236966400"/>
    <n v="8732471410"/>
    <n v="99002"/>
    <n v="113852.29999999999"/>
    <n v="14850.299999999988"/>
    <n v="495505010"/>
  </r>
  <r>
    <s v="Mar"/>
    <s v="Bajaj"/>
    <s v="Platina 100"/>
    <n v="102"/>
    <s v="&lt;=150"/>
    <x v="0"/>
    <n v="65000"/>
    <n v="0.28000000000000003"/>
    <n v="0.18"/>
    <n v="83200"/>
    <n v="76700"/>
    <n v="-6500"/>
    <n v="9579148800"/>
    <n v="10155394469.999998"/>
    <n v="115134"/>
    <n v="132404.09999999998"/>
    <n v="17270.099999999977"/>
    <n v="576245669.99999809"/>
  </r>
  <r>
    <s v="Apr"/>
    <s v="Bajaj"/>
    <s v="Platina 100"/>
    <n v="102"/>
    <s v="&lt;=150"/>
    <x v="0"/>
    <n v="65000"/>
    <n v="0.28000000000000003"/>
    <n v="0.18"/>
    <n v="83200"/>
    <n v="76700"/>
    <n v="-6500"/>
    <n v="7755737600"/>
    <n v="8222293690"/>
    <n v="93218"/>
    <n v="107200.7"/>
    <n v="13982.699999999997"/>
    <n v="466556090"/>
  </r>
  <r>
    <s v="May"/>
    <s v="Bajaj"/>
    <s v="Platina 100"/>
    <n v="102"/>
    <s v="&lt;=150"/>
    <x v="0"/>
    <n v="65000"/>
    <n v="0.28000000000000003"/>
    <n v="0.18"/>
    <n v="83200"/>
    <n v="76700"/>
    <n v="-6500"/>
    <n v="7751660800"/>
    <n v="8217971644.999999"/>
    <n v="93169"/>
    <n v="107144.34999999999"/>
    <n v="13975.349999999991"/>
    <n v="466310844.99999905"/>
  </r>
  <r>
    <s v="Jun"/>
    <s v="Bajaj"/>
    <s v="Platina 100"/>
    <n v="102"/>
    <s v="&lt;=150"/>
    <x v="0"/>
    <n v="65000"/>
    <n v="0.28000000000000003"/>
    <n v="0.18"/>
    <n v="83200"/>
    <n v="76700"/>
    <n v="-6500"/>
    <n v="7648243200"/>
    <n v="8108332830"/>
    <n v="91926"/>
    <n v="105714.9"/>
    <n v="13788.899999999994"/>
    <n v="460089630"/>
  </r>
  <r>
    <s v="Jul"/>
    <s v="Bajaj"/>
    <s v="Platina 100"/>
    <n v="102"/>
    <s v="&lt;=150"/>
    <x v="0"/>
    <n v="65000"/>
    <n v="0.28000000000000003"/>
    <n v="0.18"/>
    <n v="83200"/>
    <n v="76700"/>
    <n v="-6500"/>
    <n v="8553292800"/>
    <n v="9067826820"/>
    <n v="102804"/>
    <n v="118224.59999999999"/>
    <n v="15420.599999999991"/>
    <n v="514534020"/>
  </r>
  <r>
    <s v="Aug"/>
    <s v="Bajaj"/>
    <s v="Platina 100"/>
    <n v="102"/>
    <s v="&lt;=150"/>
    <x v="0"/>
    <n v="65000"/>
    <n v="0.28000000000000003"/>
    <n v="0.18"/>
    <n v="83200"/>
    <n v="76700"/>
    <n v="-6500"/>
    <n v="7827123200"/>
    <n v="8297973580"/>
    <n v="94076"/>
    <n v="108187.4"/>
    <n v="14111.399999999994"/>
    <n v="470850380"/>
  </r>
  <r>
    <s v="Sep"/>
    <s v="Bajaj"/>
    <s v="Platina 100"/>
    <n v="102"/>
    <s v="&lt;=150"/>
    <x v="0"/>
    <n v="65000"/>
    <n v="0.28000000000000003"/>
    <n v="0.18"/>
    <n v="83200"/>
    <n v="76700"/>
    <n v="-6500"/>
    <n v="6518553600"/>
    <n v="6910685340"/>
    <n v="78348"/>
    <n v="90100.2"/>
    <n v="11752.199999999997"/>
    <n v="392131740"/>
  </r>
  <r>
    <s v="Oct"/>
    <s v="Bajaj"/>
    <s v="Platina 100"/>
    <n v="102"/>
    <s v="&lt;=150"/>
    <x v="0"/>
    <n v="65000"/>
    <n v="0.28000000000000003"/>
    <n v="0.18"/>
    <n v="83200"/>
    <n v="76700"/>
    <n v="-6500"/>
    <n v="5841888000"/>
    <n v="6193314075"/>
    <n v="70215"/>
    <n v="80747.25"/>
    <n v="10532.25"/>
    <n v="351426075"/>
  </r>
  <r>
    <s v="Nov"/>
    <s v="Bajaj"/>
    <s v="Platina 100"/>
    <n v="102"/>
    <s v="&lt;=150"/>
    <x v="0"/>
    <n v="65000"/>
    <n v="0.28000000000000003"/>
    <n v="0.18"/>
    <n v="83200"/>
    <n v="76700"/>
    <n v="-6500"/>
    <n v="6781132800"/>
    <n v="7189060319.999999"/>
    <n v="81504"/>
    <n v="93729.599999999991"/>
    <n v="12225.599999999991"/>
    <n v="407927519.99999905"/>
  </r>
  <r>
    <s v="Dec"/>
    <s v="Bajaj"/>
    <s v="Platina 100"/>
    <n v="102"/>
    <s v="&lt;=150"/>
    <x v="0"/>
    <n v="65000"/>
    <n v="0.28000000000000003"/>
    <n v="0.18"/>
    <n v="83200"/>
    <n v="76700"/>
    <n v="-6500"/>
    <n v="6816243200"/>
    <n v="7226282830"/>
    <n v="81926"/>
    <n v="94214.9"/>
    <n v="12288.899999999994"/>
    <n v="410039630"/>
  </r>
  <r>
    <s v="Jan"/>
    <s v="Bajaj"/>
    <s v="Platina 100"/>
    <n v="102"/>
    <s v="&lt;=150"/>
    <x v="0"/>
    <n v="65000"/>
    <n v="0.28000000000000003"/>
    <n v="0.18"/>
    <n v="83200"/>
    <n v="76700"/>
    <n v="-6500"/>
    <n v="7825292800"/>
    <n v="8296033069.999999"/>
    <n v="94054"/>
    <n v="108162.09999999999"/>
    <n v="14108.099999999991"/>
    <n v="470740269.99999905"/>
  </r>
  <r>
    <s v="Feb"/>
    <s v="Bajaj"/>
    <s v="Platina 100"/>
    <n v="102"/>
    <s v="&lt;=150"/>
    <x v="0"/>
    <n v="65000"/>
    <n v="0.28000000000000003"/>
    <n v="0.18"/>
    <n v="83200"/>
    <n v="76700"/>
    <n v="-6500"/>
    <n v="6717318400"/>
    <n v="7121407084.999999"/>
    <n v="80737"/>
    <n v="92847.549999999988"/>
    <n v="12110.549999999988"/>
    <n v="404088684.99999905"/>
  </r>
  <r>
    <s v="Mar"/>
    <s v="Bajaj"/>
    <s v="Platina 100"/>
    <n v="102"/>
    <s v="&lt;=150"/>
    <x v="0"/>
    <n v="65000"/>
    <n v="0.28000000000000003"/>
    <n v="0.18"/>
    <n v="83200"/>
    <n v="76700"/>
    <n v="-6500"/>
    <n v="8848070400"/>
    <n v="9380337135"/>
    <n v="106347"/>
    <n v="122299.04999999999"/>
    <n v="15952.049999999988"/>
    <n v="532266735"/>
  </r>
  <r>
    <s v="Apr"/>
    <s v="Bajaj"/>
    <s v="Platina 100"/>
    <n v="102"/>
    <s v="&lt;=150"/>
    <x v="0"/>
    <n v="65000"/>
    <n v="0.28000000000000003"/>
    <n v="0.18"/>
    <n v="83200"/>
    <n v="76700"/>
    <n v="-6500"/>
    <n v="8481158400"/>
    <n v="8991353085"/>
    <n v="101937"/>
    <n v="117227.54999999999"/>
    <n v="15290.549999999988"/>
    <n v="510194685"/>
  </r>
  <r>
    <s v="May"/>
    <s v="Bajaj"/>
    <s v="Platina 100"/>
    <n v="102"/>
    <s v="&lt;=150"/>
    <x v="0"/>
    <n v="65000"/>
    <n v="0.28000000000000003"/>
    <n v="0.18"/>
    <n v="83200"/>
    <n v="76700"/>
    <n v="-6500"/>
    <n v="7025241600"/>
    <n v="7447853790"/>
    <n v="84438"/>
    <n v="97103.7"/>
    <n v="12665.699999999997"/>
    <n v="422612190"/>
  </r>
  <r>
    <s v="Jun"/>
    <s v="Bajaj"/>
    <s v="Platina 100"/>
    <n v="102"/>
    <s v="&lt;=150"/>
    <x v="0"/>
    <n v="65000"/>
    <n v="0.28000000000000003"/>
    <n v="0.18"/>
    <n v="83200"/>
    <n v="76700"/>
    <n v="-6500"/>
    <n v="7734022400"/>
    <n v="8199272184.999999"/>
    <n v="92957"/>
    <n v="106900.54999999999"/>
    <n v="13943.549999999988"/>
    <n v="465249784.99999905"/>
  </r>
  <r>
    <s v="Jul"/>
    <s v="Bajaj"/>
    <s v="Platina 100"/>
    <n v="102"/>
    <s v="&lt;=150"/>
    <x v="0"/>
    <n v="65000"/>
    <n v="0.28000000000000003"/>
    <n v="0.18"/>
    <n v="83200"/>
    <n v="76700"/>
    <n v="-6500"/>
    <n v="6793529600"/>
    <n v="7202202865"/>
    <n v="81653"/>
    <n v="93900.95"/>
    <n v="12247.949999999997"/>
    <n v="408673265"/>
  </r>
  <r>
    <s v="Aug"/>
    <s v="Bajaj"/>
    <s v="Platina 100"/>
    <n v="102"/>
    <s v="&lt;=150"/>
    <x v="0"/>
    <n v="65000"/>
    <n v="0.28000000000000003"/>
    <n v="0.18"/>
    <n v="83200"/>
    <n v="76700"/>
    <n v="-6500"/>
    <n v="5748038400"/>
    <n v="6093818834.999999"/>
    <n v="69087"/>
    <n v="79450.049999999988"/>
    <n v="10363.049999999988"/>
    <n v="345780434.99999905"/>
  </r>
  <r>
    <s v="Sep"/>
    <s v="Bajaj"/>
    <s v="Platina 100"/>
    <n v="102"/>
    <s v="&lt;=150"/>
    <x v="0"/>
    <n v="65000"/>
    <n v="0.28000000000000003"/>
    <n v="0.18"/>
    <n v="83200"/>
    <n v="76700"/>
    <n v="-6500"/>
    <n v="5846880000"/>
    <n v="6198606375"/>
    <n v="70275"/>
    <n v="80816.25"/>
    <n v="10541.25"/>
    <n v="351726375"/>
  </r>
  <r>
    <s v="Jan"/>
    <s v="Bajaj"/>
    <s v="Platina 110"/>
    <n v="115"/>
    <s v="&lt;=150"/>
    <x v="0"/>
    <n v="72000"/>
    <n v="0.28000000000000003"/>
    <n v="0.18"/>
    <n v="92160"/>
    <n v="84960"/>
    <n v="-7200"/>
    <n v="6893107200"/>
    <n v="7307770680"/>
    <n v="74795"/>
    <n v="86014.25"/>
    <n v="11219.25"/>
    <n v="414663480"/>
  </r>
  <r>
    <s v="Feb"/>
    <s v="Bajaj"/>
    <s v="Platina 110"/>
    <n v="115"/>
    <s v="&lt;=150"/>
    <x v="0"/>
    <n v="72000"/>
    <n v="0.28000000000000003"/>
    <n v="0.18"/>
    <n v="92160"/>
    <n v="84960"/>
    <n v="-7200"/>
    <n v="7084431360"/>
    <n v="7510604183.999999"/>
    <n v="76871"/>
    <n v="88401.65"/>
    <n v="11530.649999999994"/>
    <n v="426172823.99999905"/>
  </r>
  <r>
    <s v="Mar"/>
    <s v="Bajaj"/>
    <s v="Platina 110"/>
    <n v="115"/>
    <s v="&lt;=150"/>
    <x v="0"/>
    <n v="72000"/>
    <n v="0.28000000000000003"/>
    <n v="0.18"/>
    <n v="92160"/>
    <n v="84960"/>
    <n v="-7200"/>
    <n v="6517923840"/>
    <n v="6910017695.999999"/>
    <n v="70724"/>
    <n v="81332.599999999991"/>
    <n v="10608.599999999991"/>
    <n v="392093855.99999905"/>
  </r>
  <r>
    <s v="Apr"/>
    <s v="Bajaj"/>
    <s v="Platina 110"/>
    <n v="115"/>
    <s v="&lt;=150"/>
    <x v="0"/>
    <n v="72000"/>
    <n v="0.28000000000000003"/>
    <n v="0.18"/>
    <n v="92160"/>
    <n v="84960"/>
    <n v="-7200"/>
    <n v="7359528960"/>
    <n v="7802250623.999999"/>
    <n v="79856"/>
    <n v="91834.4"/>
    <n v="11978.399999999994"/>
    <n v="442721663.99999905"/>
  </r>
  <r>
    <s v="May"/>
    <s v="Bajaj"/>
    <s v="Platina 110"/>
    <n v="115"/>
    <s v="&lt;=150"/>
    <x v="0"/>
    <n v="72000"/>
    <n v="0.28000000000000003"/>
    <n v="0.18"/>
    <n v="92160"/>
    <n v="84960"/>
    <n v="-7200"/>
    <n v="6590822400"/>
    <n v="6987301560"/>
    <n v="71515"/>
    <n v="82242.25"/>
    <n v="10727.25"/>
    <n v="396479160"/>
  </r>
  <r>
    <s v="Jun"/>
    <s v="Bajaj"/>
    <s v="Platina 110"/>
    <n v="115"/>
    <s v="&lt;=150"/>
    <x v="0"/>
    <n v="72000"/>
    <n v="0.28000000000000003"/>
    <n v="0.18"/>
    <n v="92160"/>
    <n v="84960"/>
    <n v="-7200"/>
    <n v="6251304960"/>
    <n v="6627360023.999999"/>
    <n v="67831"/>
    <n v="78005.649999999994"/>
    <n v="10174.649999999994"/>
    <n v="376055063.99999905"/>
  </r>
  <r>
    <s v="Jul"/>
    <s v="Bajaj"/>
    <s v="Platina 110"/>
    <n v="115"/>
    <s v="&lt;=150"/>
    <x v="0"/>
    <n v="72000"/>
    <n v="0.28000000000000003"/>
    <n v="0.18"/>
    <n v="92160"/>
    <n v="84960"/>
    <n v="-7200"/>
    <n v="6445117440"/>
    <n v="6832831535.999999"/>
    <n v="69934"/>
    <n v="80424.099999999991"/>
    <n v="10490.099999999991"/>
    <n v="387714095.99999905"/>
  </r>
  <r>
    <s v="Aug"/>
    <s v="Bajaj"/>
    <s v="Platina 110"/>
    <n v="115"/>
    <s v="&lt;=150"/>
    <x v="0"/>
    <n v="72000"/>
    <n v="0.28000000000000003"/>
    <n v="0.18"/>
    <n v="92160"/>
    <n v="84960"/>
    <n v="-7200"/>
    <n v="4957378560"/>
    <n v="5255595863.999999"/>
    <n v="53791"/>
    <n v="61859.649999999994"/>
    <n v="8068.6499999999942"/>
    <n v="298217303.99999905"/>
  </r>
  <r>
    <s v="Sep"/>
    <s v="Bajaj"/>
    <s v="Platina 110"/>
    <n v="115"/>
    <s v="&lt;=150"/>
    <x v="0"/>
    <n v="72000"/>
    <n v="0.28000000000000003"/>
    <n v="0.18"/>
    <n v="92160"/>
    <n v="84960"/>
    <n v="-7200"/>
    <n v="5894553600"/>
    <n v="6249147840"/>
    <n v="63960"/>
    <n v="73554"/>
    <n v="9594"/>
    <n v="354594240"/>
  </r>
  <r>
    <s v="Oct"/>
    <s v="Bajaj"/>
    <s v="Platina 110"/>
    <n v="115"/>
    <s v="&lt;=150"/>
    <x v="0"/>
    <n v="72000"/>
    <n v="0.28000000000000003"/>
    <n v="0.18"/>
    <n v="92160"/>
    <n v="84960"/>
    <n v="-7200"/>
    <n v="6192599040"/>
    <n v="6565122575.999999"/>
    <n v="67194"/>
    <n v="77273.099999999991"/>
    <n v="10079.099999999991"/>
    <n v="372523535.99999905"/>
  </r>
  <r>
    <s v="Nov"/>
    <s v="Bajaj"/>
    <s v="Platina 110"/>
    <n v="115"/>
    <s v="&lt;=150"/>
    <x v="0"/>
    <n v="72000"/>
    <n v="0.28000000000000003"/>
    <n v="0.18"/>
    <n v="92160"/>
    <n v="84960"/>
    <n v="-7200"/>
    <n v="5671065600"/>
    <n v="6012215640"/>
    <n v="61535"/>
    <n v="70765.25"/>
    <n v="9230.25"/>
    <n v="341150040"/>
  </r>
  <r>
    <s v="Dec"/>
    <s v="Bajaj"/>
    <s v="Platina 110"/>
    <n v="115"/>
    <s v="&lt;=150"/>
    <x v="0"/>
    <n v="72000"/>
    <n v="0.28000000000000003"/>
    <n v="0.18"/>
    <n v="92160"/>
    <n v="84960"/>
    <n v="-7200"/>
    <n v="6118225920"/>
    <n v="6486275447.999999"/>
    <n v="66387"/>
    <n v="76345.049999999988"/>
    <n v="9958.0499999999884"/>
    <n v="368049527.99999905"/>
  </r>
  <r>
    <s v="Jan"/>
    <s v="Bajaj"/>
    <s v="Platina 110"/>
    <n v="115"/>
    <s v="&lt;=150"/>
    <x v="0"/>
    <n v="72000"/>
    <n v="0.28000000000000003"/>
    <n v="0.18"/>
    <n v="92160"/>
    <n v="84960"/>
    <n v="-7200"/>
    <n v="6215546880"/>
    <n v="6589450872"/>
    <n v="67443"/>
    <n v="77559.45"/>
    <n v="10116.449999999997"/>
    <n v="373903992"/>
  </r>
  <r>
    <s v="Feb"/>
    <s v="Bajaj"/>
    <s v="Platina 110"/>
    <n v="115"/>
    <s v="&lt;=150"/>
    <x v="0"/>
    <n v="72000"/>
    <n v="0.28000000000000003"/>
    <n v="0.18"/>
    <n v="92160"/>
    <n v="84960"/>
    <n v="-7200"/>
    <n v="6586398720"/>
    <n v="6982611767.999999"/>
    <n v="71467"/>
    <n v="82187.049999999988"/>
    <n v="10720.049999999988"/>
    <n v="396213047.99999905"/>
  </r>
  <r>
    <s v="Mar"/>
    <s v="Bajaj"/>
    <s v="Platina 110"/>
    <n v="115"/>
    <s v="&lt;=150"/>
    <x v="0"/>
    <n v="72000"/>
    <n v="0.28000000000000003"/>
    <n v="0.18"/>
    <n v="92160"/>
    <n v="84960"/>
    <n v="-7200"/>
    <n v="8468213760"/>
    <n v="8977629744"/>
    <n v="91886"/>
    <n v="105668.9"/>
    <n v="13782.899999999994"/>
    <n v="509415984"/>
  </r>
  <r>
    <s v="Apr"/>
    <s v="Bajaj"/>
    <s v="Platina 110"/>
    <n v="115"/>
    <s v="&lt;=150"/>
    <x v="0"/>
    <n v="72000"/>
    <n v="0.28000000000000003"/>
    <n v="0.18"/>
    <n v="92160"/>
    <n v="84960"/>
    <n v="-7200"/>
    <n v="7705958400"/>
    <n v="8169519959.999999"/>
    <n v="83615"/>
    <n v="96157.249999999985"/>
    <n v="12542.249999999985"/>
    <n v="463561559.99999905"/>
  </r>
  <r>
    <s v="May"/>
    <s v="Bajaj"/>
    <s v="Platina 110"/>
    <n v="115"/>
    <s v="&lt;=150"/>
    <x v="0"/>
    <n v="72000"/>
    <n v="0.28000000000000003"/>
    <n v="0.18"/>
    <n v="92160"/>
    <n v="84960"/>
    <n v="-7200"/>
    <n v="7058442240"/>
    <n v="7483051655.999999"/>
    <n v="76589"/>
    <n v="88077.349999999991"/>
    <n v="11488.349999999991"/>
    <n v="424609415.99999905"/>
  </r>
  <r>
    <s v="Jun"/>
    <s v="Bajaj"/>
    <s v="Platina 110"/>
    <n v="115"/>
    <s v="&lt;=150"/>
    <x v="0"/>
    <n v="72000"/>
    <n v="0.28000000000000003"/>
    <n v="0.18"/>
    <n v="92160"/>
    <n v="84960"/>
    <n v="-7200"/>
    <n v="6480875520"/>
    <n v="6870740687.999999"/>
    <n v="70322"/>
    <n v="80870.299999999988"/>
    <n v="10548.299999999988"/>
    <n v="389865167.99999905"/>
  </r>
  <r>
    <s v="Jul"/>
    <s v="Bajaj"/>
    <s v="Platina 110"/>
    <n v="115"/>
    <s v="&lt;=150"/>
    <x v="0"/>
    <n v="72000"/>
    <n v="0.28000000000000003"/>
    <n v="0.18"/>
    <n v="92160"/>
    <n v="84960"/>
    <n v="-7200"/>
    <n v="5120225280"/>
    <n v="5428238832"/>
    <n v="55558"/>
    <n v="63891.7"/>
    <n v="8333.6999999999971"/>
    <n v="308013552"/>
  </r>
  <r>
    <s v="Aug"/>
    <s v="Bajaj"/>
    <s v="Platina 110"/>
    <n v="115"/>
    <s v="&lt;=150"/>
    <x v="0"/>
    <n v="72000"/>
    <n v="0.28000000000000003"/>
    <n v="0.18"/>
    <n v="92160"/>
    <n v="84960"/>
    <n v="-7200"/>
    <n v="5839810560"/>
    <n v="6191111663.999999"/>
    <n v="63366"/>
    <n v="72870.899999999994"/>
    <n v="9504.8999999999942"/>
    <n v="351301103.99999905"/>
  </r>
  <r>
    <s v="Sep"/>
    <s v="Bajaj"/>
    <s v="Platina 110"/>
    <n v="115"/>
    <s v="&lt;=150"/>
    <x v="0"/>
    <n v="72000"/>
    <n v="0.28000000000000003"/>
    <n v="0.18"/>
    <n v="92160"/>
    <n v="84960"/>
    <n v="-7200"/>
    <n v="6280519680"/>
    <n v="6658332192"/>
    <n v="68148"/>
    <n v="78370.2"/>
    <n v="10222.199999999997"/>
    <n v="377812512"/>
  </r>
  <r>
    <s v="Oct"/>
    <s v="Bajaj"/>
    <s v="Platina 110"/>
    <n v="115"/>
    <s v="&lt;=150"/>
    <x v="0"/>
    <n v="72000"/>
    <n v="0.28000000000000003"/>
    <n v="0.18"/>
    <n v="92160"/>
    <n v="84960"/>
    <n v="-7200"/>
    <n v="5248051200"/>
    <n v="5563754279.999999"/>
    <n v="56945"/>
    <n v="65486.749999999993"/>
    <n v="8541.7499999999927"/>
    <n v="315703079.99999905"/>
  </r>
  <r>
    <s v="Nov"/>
    <s v="Bajaj"/>
    <s v="Platina 110"/>
    <n v="115"/>
    <s v="&lt;=150"/>
    <x v="0"/>
    <n v="72000"/>
    <n v="0.28000000000000003"/>
    <n v="0.18"/>
    <n v="92160"/>
    <n v="84960"/>
    <n v="-7200"/>
    <n v="5563699200"/>
    <n v="5898390480"/>
    <n v="60370"/>
    <n v="69425.5"/>
    <n v="9055.5"/>
    <n v="334691280"/>
  </r>
  <r>
    <s v="Dec"/>
    <s v="Bajaj"/>
    <s v="Platina 110"/>
    <n v="115"/>
    <s v="&lt;=150"/>
    <x v="0"/>
    <n v="72000"/>
    <n v="0.28000000000000003"/>
    <n v="0.18"/>
    <n v="92160"/>
    <n v="84960"/>
    <n v="-7200"/>
    <n v="7030425600"/>
    <n v="7453349640"/>
    <n v="76285"/>
    <n v="87727.75"/>
    <n v="11442.75"/>
    <n v="422924040"/>
  </r>
  <r>
    <s v="Jan"/>
    <s v="Bajaj"/>
    <s v="Platina 110"/>
    <n v="115"/>
    <s v="&lt;=150"/>
    <x v="0"/>
    <n v="72000"/>
    <n v="0.28000000000000003"/>
    <n v="0.18"/>
    <n v="92160"/>
    <n v="84960"/>
    <n v="-7200"/>
    <n v="6886748160"/>
    <n v="7301029103.999999"/>
    <n v="74726"/>
    <n v="85934.9"/>
    <n v="11208.899999999994"/>
    <n v="414280943.99999905"/>
  </r>
  <r>
    <s v="Feb"/>
    <s v="Bajaj"/>
    <s v="Platina 110"/>
    <n v="115"/>
    <s v="&lt;=150"/>
    <x v="0"/>
    <n v="72000"/>
    <n v="0.28000000000000003"/>
    <n v="0.18"/>
    <n v="92160"/>
    <n v="84960"/>
    <n v="-7200"/>
    <n v="7471411200"/>
    <n v="7920863280"/>
    <n v="81070"/>
    <n v="93230.5"/>
    <n v="12160.5"/>
    <n v="449452080"/>
  </r>
  <r>
    <s v="Mar"/>
    <s v="Bajaj"/>
    <s v="Platina 110"/>
    <n v="115"/>
    <s v="&lt;=150"/>
    <x v="0"/>
    <n v="72000"/>
    <n v="0.28000000000000003"/>
    <n v="0.18"/>
    <n v="92160"/>
    <n v="84960"/>
    <n v="-7200"/>
    <n v="6730260480"/>
    <n v="7135127712"/>
    <n v="73028"/>
    <n v="83982.2"/>
    <n v="10954.199999999997"/>
    <n v="404867232"/>
  </r>
  <r>
    <s v="Apr"/>
    <s v="Bajaj"/>
    <s v="Platina 110"/>
    <n v="115"/>
    <s v="&lt;=150"/>
    <x v="0"/>
    <n v="72000"/>
    <n v="0.28000000000000003"/>
    <n v="0.18"/>
    <n v="92160"/>
    <n v="84960"/>
    <n v="-7200"/>
    <n v="7961057280"/>
    <n v="8439964632"/>
    <n v="86383"/>
    <n v="99340.45"/>
    <n v="12957.449999999997"/>
    <n v="478907352"/>
  </r>
  <r>
    <s v="May"/>
    <s v="Bajaj"/>
    <s v="Platina 110"/>
    <n v="115"/>
    <s v="&lt;=150"/>
    <x v="0"/>
    <n v="72000"/>
    <n v="0.28000000000000003"/>
    <n v="0.18"/>
    <n v="92160"/>
    <n v="84960"/>
    <n v="-7200"/>
    <n v="7591403520"/>
    <n v="8048073887.999999"/>
    <n v="82372"/>
    <n v="94727.799999999988"/>
    <n v="12355.799999999988"/>
    <n v="456670367.99999905"/>
  </r>
  <r>
    <s v="Jun"/>
    <s v="Bajaj"/>
    <s v="Platina 110"/>
    <n v="115"/>
    <s v="&lt;=150"/>
    <x v="0"/>
    <n v="72000"/>
    <n v="0.28000000000000003"/>
    <n v="0.18"/>
    <n v="92160"/>
    <n v="84960"/>
    <n v="-7200"/>
    <n v="7580252160"/>
    <n v="8036251703.999999"/>
    <n v="82251"/>
    <n v="94588.65"/>
    <n v="12337.649999999994"/>
    <n v="455999543.99999905"/>
  </r>
  <r>
    <s v="Jul"/>
    <s v="Bajaj"/>
    <s v="Platina 110"/>
    <n v="115"/>
    <s v="&lt;=150"/>
    <x v="0"/>
    <n v="72000"/>
    <n v="0.28000000000000003"/>
    <n v="0.18"/>
    <n v="92160"/>
    <n v="84960"/>
    <n v="-7200"/>
    <n v="6654965760"/>
    <n v="7055303543.999999"/>
    <n v="72211"/>
    <n v="83042.649999999994"/>
    <n v="10831.649999999994"/>
    <n v="400337783.99999905"/>
  </r>
  <r>
    <s v="Aug"/>
    <s v="Bajaj"/>
    <s v="Platina 110"/>
    <n v="115"/>
    <s v="&lt;=150"/>
    <x v="0"/>
    <n v="72000"/>
    <n v="0.28000000000000003"/>
    <n v="0.18"/>
    <n v="92160"/>
    <n v="84960"/>
    <n v="-7200"/>
    <n v="5654476800"/>
    <n v="5994628920"/>
    <n v="61355"/>
    <n v="70558.25"/>
    <n v="9203.25"/>
    <n v="340152120"/>
  </r>
  <r>
    <s v="Sep"/>
    <s v="Bajaj"/>
    <s v="Platina 110"/>
    <n v="115"/>
    <s v="&lt;=150"/>
    <x v="0"/>
    <n v="72000"/>
    <n v="0.28000000000000003"/>
    <n v="0.18"/>
    <n v="92160"/>
    <n v="84960"/>
    <n v="-7200"/>
    <n v="4771399680"/>
    <n v="5058429192"/>
    <n v="51773"/>
    <n v="59538.95"/>
    <n v="7765.9499999999971"/>
    <n v="287029512"/>
  </r>
  <r>
    <s v="Jan"/>
    <s v="Bajaj"/>
    <s v="CT 110X"/>
    <n v="115"/>
    <s v="&lt;=150"/>
    <x v="0"/>
    <n v="68000"/>
    <n v="0.28000000000000003"/>
    <n v="0.18"/>
    <n v="87040"/>
    <n v="80240"/>
    <n v="-6800"/>
    <n v="5512243200"/>
    <n v="5843839080"/>
    <n v="63330"/>
    <n v="72829.5"/>
    <n v="9499.5"/>
    <n v="331595880"/>
  </r>
  <r>
    <s v="Feb"/>
    <s v="Bajaj"/>
    <s v="CT 110X"/>
    <n v="115"/>
    <s v="&lt;=150"/>
    <x v="0"/>
    <n v="68000"/>
    <n v="0.28000000000000003"/>
    <n v="0.18"/>
    <n v="87040"/>
    <n v="80240"/>
    <n v="-6800"/>
    <n v="6390302720"/>
    <n v="6774719368"/>
    <n v="73418"/>
    <n v="84430.7"/>
    <n v="11012.699999999997"/>
    <n v="384416648"/>
  </r>
  <r>
    <s v="Mar"/>
    <s v="Bajaj"/>
    <s v="CT 110X"/>
    <n v="115"/>
    <s v="&lt;=150"/>
    <x v="0"/>
    <n v="68000"/>
    <n v="0.28000000000000003"/>
    <n v="0.18"/>
    <n v="87040"/>
    <n v="80240"/>
    <n v="-6800"/>
    <n v="5891650560"/>
    <n v="6246070163.999999"/>
    <n v="67689"/>
    <n v="77842.349999999991"/>
    <n v="10153.349999999991"/>
    <n v="354419603.99999905"/>
  </r>
  <r>
    <s v="Apr"/>
    <s v="Bajaj"/>
    <s v="CT 110X"/>
    <n v="115"/>
    <s v="&lt;=150"/>
    <x v="0"/>
    <n v="68000"/>
    <n v="0.28000000000000003"/>
    <n v="0.18"/>
    <n v="87040"/>
    <n v="80240"/>
    <n v="-6800"/>
    <n v="5169131520"/>
    <n v="5480087088"/>
    <n v="59388"/>
    <n v="68296.2"/>
    <n v="8908.1999999999971"/>
    <n v="310955568"/>
  </r>
  <r>
    <s v="May"/>
    <s v="Bajaj"/>
    <s v="CT 110X"/>
    <n v="115"/>
    <s v="&lt;=150"/>
    <x v="0"/>
    <n v="68000"/>
    <n v="0.28000000000000003"/>
    <n v="0.18"/>
    <n v="87040"/>
    <n v="80240"/>
    <n v="-6800"/>
    <n v="5717135360"/>
    <n v="6061056783.999999"/>
    <n v="65684"/>
    <n v="75536.599999999991"/>
    <n v="9852.5999999999913"/>
    <n v="343921423.99999905"/>
  </r>
  <r>
    <s v="Jun"/>
    <s v="Bajaj"/>
    <s v="CT 110X"/>
    <n v="115"/>
    <s v="&lt;=150"/>
    <x v="0"/>
    <n v="68000"/>
    <n v="0.28000000000000003"/>
    <n v="0.18"/>
    <n v="87040"/>
    <n v="80240"/>
    <n v="-6800"/>
    <n v="5776148480"/>
    <n v="6123619911.999999"/>
    <n v="66362"/>
    <n v="76316.299999999988"/>
    <n v="9954.2999999999884"/>
    <n v="347471431.99999905"/>
  </r>
  <r>
    <s v="Jul"/>
    <s v="Bajaj"/>
    <s v="CT 110X"/>
    <n v="115"/>
    <s v="&lt;=150"/>
    <x v="0"/>
    <n v="68000"/>
    <n v="0.28000000000000003"/>
    <n v="0.18"/>
    <n v="87040"/>
    <n v="80240"/>
    <n v="-6800"/>
    <n v="4799385600"/>
    <n v="5088098639.999999"/>
    <n v="55140"/>
    <n v="63410.999999999993"/>
    <n v="8270.9999999999927"/>
    <n v="288713039.99999905"/>
  </r>
  <r>
    <s v="Aug"/>
    <s v="Bajaj"/>
    <s v="CT 110X"/>
    <n v="115"/>
    <s v="&lt;=150"/>
    <x v="0"/>
    <n v="68000"/>
    <n v="0.28000000000000003"/>
    <n v="0.18"/>
    <n v="87040"/>
    <n v="80240"/>
    <n v="-6800"/>
    <n v="3994091520"/>
    <n v="4234361088"/>
    <n v="45888"/>
    <n v="52771.199999999997"/>
    <n v="6883.1999999999971"/>
    <n v="240269568"/>
  </r>
  <r>
    <s v="Sep"/>
    <s v="Bajaj"/>
    <s v="CT 110X"/>
    <n v="115"/>
    <s v="&lt;=150"/>
    <x v="0"/>
    <n v="68000"/>
    <n v="0.28000000000000003"/>
    <n v="0.18"/>
    <n v="87040"/>
    <n v="80240"/>
    <n v="-6800"/>
    <n v="5309614080"/>
    <n v="5629020551.999999"/>
    <n v="61002"/>
    <n v="70152.299999999988"/>
    <n v="9150.2999999999884"/>
    <n v="319406471.99999905"/>
  </r>
  <r>
    <s v="Oct"/>
    <s v="Bajaj"/>
    <s v="CT 110X"/>
    <n v="115"/>
    <s v="&lt;=150"/>
    <x v="0"/>
    <n v="68000"/>
    <n v="0.28000000000000003"/>
    <n v="0.18"/>
    <n v="87040"/>
    <n v="80240"/>
    <n v="-6800"/>
    <n v="4881551360"/>
    <n v="5175207184"/>
    <n v="56084"/>
    <n v="64496.6"/>
    <n v="8412.5999999999985"/>
    <n v="293655824"/>
  </r>
  <r>
    <s v="Nov"/>
    <s v="Bajaj"/>
    <s v="CT 110X"/>
    <n v="115"/>
    <s v="&lt;=150"/>
    <x v="0"/>
    <n v="68000"/>
    <n v="0.28000000000000003"/>
    <n v="0.18"/>
    <n v="87040"/>
    <n v="80240"/>
    <n v="-6800"/>
    <n v="4680750080"/>
    <n v="4962326452"/>
    <n v="53777"/>
    <n v="61843.549999999996"/>
    <n v="8066.5499999999956"/>
    <n v="281576372"/>
  </r>
  <r>
    <s v="Dec"/>
    <s v="Bajaj"/>
    <s v="CT 110X"/>
    <n v="115"/>
    <s v="&lt;=150"/>
    <x v="0"/>
    <n v="68000"/>
    <n v="0.28000000000000003"/>
    <n v="0.18"/>
    <n v="87040"/>
    <n v="80240"/>
    <n v="-6800"/>
    <n v="5654553600"/>
    <n v="5994710340"/>
    <n v="64965"/>
    <n v="74709.75"/>
    <n v="9744.75"/>
    <n v="340156740"/>
  </r>
  <r>
    <s v="Jan"/>
    <s v="Bajaj"/>
    <s v="CT 110X"/>
    <n v="115"/>
    <s v="&lt;=150"/>
    <x v="0"/>
    <n v="68000"/>
    <n v="0.28000000000000003"/>
    <n v="0.18"/>
    <n v="87040"/>
    <n v="80240"/>
    <n v="-6800"/>
    <n v="5878768640"/>
    <n v="6232413316"/>
    <n v="67541"/>
    <n v="77672.149999999994"/>
    <n v="10131.149999999994"/>
    <n v="353644676"/>
  </r>
  <r>
    <s v="Feb"/>
    <s v="Bajaj"/>
    <s v="CT 110X"/>
    <n v="115"/>
    <s v="&lt;=150"/>
    <x v="0"/>
    <n v="68000"/>
    <n v="0.28000000000000003"/>
    <n v="0.18"/>
    <n v="87040"/>
    <n v="80240"/>
    <n v="-6800"/>
    <n v="6320583680"/>
    <n v="6700806291.999999"/>
    <n v="72617"/>
    <n v="83509.549999999988"/>
    <n v="10892.549999999988"/>
    <n v="380222611.99999905"/>
  </r>
  <r>
    <s v="Mar"/>
    <s v="Bajaj"/>
    <s v="CT 110X"/>
    <n v="115"/>
    <s v="&lt;=150"/>
    <x v="0"/>
    <n v="68000"/>
    <n v="0.28000000000000003"/>
    <n v="0.18"/>
    <n v="87040"/>
    <n v="80240"/>
    <n v="-6800"/>
    <n v="5770752000"/>
    <n v="6117898800"/>
    <n v="66300"/>
    <n v="76245"/>
    <n v="9945"/>
    <n v="347146800"/>
  </r>
  <r>
    <s v="Apr"/>
    <s v="Bajaj"/>
    <s v="CT 110X"/>
    <n v="115"/>
    <s v="&lt;=150"/>
    <x v="0"/>
    <n v="68000"/>
    <n v="0.28000000000000003"/>
    <n v="0.18"/>
    <n v="87040"/>
    <n v="80240"/>
    <n v="-6800"/>
    <n v="5407969280"/>
    <n v="5733292431.999999"/>
    <n v="62132"/>
    <n v="71451.799999999988"/>
    <n v="9319.7999999999884"/>
    <n v="325323151.99999905"/>
  </r>
  <r>
    <s v="May"/>
    <s v="Bajaj"/>
    <s v="CT 110X"/>
    <n v="115"/>
    <s v="&lt;=150"/>
    <x v="0"/>
    <n v="68000"/>
    <n v="0.28000000000000003"/>
    <n v="0.18"/>
    <n v="87040"/>
    <n v="80240"/>
    <n v="-6800"/>
    <n v="4905487360"/>
    <n v="5200583084"/>
    <n v="56359"/>
    <n v="64812.85"/>
    <n v="8453.8499999999985"/>
    <n v="295095724"/>
  </r>
  <r>
    <s v="Jun"/>
    <s v="Bajaj"/>
    <s v="CT 110X"/>
    <n v="115"/>
    <s v="&lt;=150"/>
    <x v="0"/>
    <n v="68000"/>
    <n v="0.28000000000000003"/>
    <n v="0.18"/>
    <n v="87040"/>
    <n v="80240"/>
    <n v="-6800"/>
    <n v="4520074240"/>
    <n v="4791984956"/>
    <n v="51931"/>
    <n v="59720.649999999994"/>
    <n v="7789.6499999999942"/>
    <n v="271910716"/>
  </r>
  <r>
    <s v="Jul"/>
    <s v="Bajaj"/>
    <s v="CT 110X"/>
    <n v="115"/>
    <s v="&lt;=150"/>
    <x v="0"/>
    <n v="68000"/>
    <n v="0.28000000000000003"/>
    <n v="0.18"/>
    <n v="87040"/>
    <n v="80240"/>
    <n v="-6800"/>
    <n v="4762045440"/>
    <n v="5048512236"/>
    <n v="54711"/>
    <n v="62917.649999999994"/>
    <n v="8206.6499999999942"/>
    <n v="286466796"/>
  </r>
  <r>
    <s v="Aug"/>
    <s v="Bajaj"/>
    <s v="CT 110X"/>
    <n v="115"/>
    <s v="&lt;=150"/>
    <x v="0"/>
    <n v="68000"/>
    <n v="0.28000000000000003"/>
    <n v="0.18"/>
    <n v="87040"/>
    <n v="80240"/>
    <n v="-6800"/>
    <n v="4304128000"/>
    <n v="4563048199.999999"/>
    <n v="49450"/>
    <n v="56867.499999999993"/>
    <n v="7417.4999999999927"/>
    <n v="258920199.99999905"/>
  </r>
  <r>
    <s v="Sep"/>
    <s v="Bajaj"/>
    <s v="CT 110X"/>
    <n v="115"/>
    <s v="&lt;=150"/>
    <x v="0"/>
    <n v="68000"/>
    <n v="0.28000000000000003"/>
    <n v="0.18"/>
    <n v="87040"/>
    <n v="80240"/>
    <n v="-6800"/>
    <n v="5124392960"/>
    <n v="5432657223.999999"/>
    <n v="58874"/>
    <n v="67705.099999999991"/>
    <n v="8831.0999999999913"/>
    <n v="308264263.99999905"/>
  </r>
  <r>
    <s v="Oct"/>
    <s v="Bajaj"/>
    <s v="CT 110X"/>
    <n v="115"/>
    <s v="&lt;=150"/>
    <x v="0"/>
    <n v="68000"/>
    <n v="0.28000000000000003"/>
    <n v="0.18"/>
    <n v="87040"/>
    <n v="80240"/>
    <n v="-6800"/>
    <n v="4665692160"/>
    <n v="4946362704"/>
    <n v="53604"/>
    <n v="61644.6"/>
    <n v="8040.5999999999985"/>
    <n v="280670544"/>
  </r>
  <r>
    <s v="Nov"/>
    <s v="Bajaj"/>
    <s v="CT 110X"/>
    <n v="115"/>
    <s v="&lt;=150"/>
    <x v="0"/>
    <n v="68000"/>
    <n v="0.28000000000000003"/>
    <n v="0.18"/>
    <n v="87040"/>
    <n v="80240"/>
    <n v="-6800"/>
    <n v="4958668800"/>
    <n v="5256963719.999999"/>
    <n v="56970"/>
    <n v="65515.499999999993"/>
    <n v="8545.4999999999927"/>
    <n v="298294919.99999905"/>
  </r>
  <r>
    <s v="Dec"/>
    <s v="Bajaj"/>
    <s v="CT 110X"/>
    <n v="115"/>
    <s v="&lt;=150"/>
    <x v="0"/>
    <n v="68000"/>
    <n v="0.28000000000000003"/>
    <n v="0.18"/>
    <n v="87040"/>
    <n v="80240"/>
    <n v="-6800"/>
    <n v="4933601280"/>
    <n v="5230388232"/>
    <n v="56682"/>
    <n v="65184.299999999996"/>
    <n v="8502.2999999999956"/>
    <n v="296786952"/>
  </r>
  <r>
    <s v="Jan"/>
    <s v="Bajaj"/>
    <s v="CT 110X"/>
    <n v="115"/>
    <s v="&lt;=150"/>
    <x v="0"/>
    <n v="68000"/>
    <n v="0.28000000000000003"/>
    <n v="0.18"/>
    <n v="87040"/>
    <n v="80240"/>
    <n v="-6800"/>
    <n v="5932559360"/>
    <n v="6289439883.999999"/>
    <n v="68159"/>
    <n v="78382.849999999991"/>
    <n v="10223.849999999991"/>
    <n v="356880523.99999905"/>
  </r>
  <r>
    <s v="Feb"/>
    <s v="Bajaj"/>
    <s v="CT 110X"/>
    <n v="115"/>
    <s v="&lt;=150"/>
    <x v="0"/>
    <n v="68000"/>
    <n v="0.28000000000000003"/>
    <n v="0.18"/>
    <n v="87040"/>
    <n v="80240"/>
    <n v="-6800"/>
    <n v="5436779520"/>
    <n v="5763835788"/>
    <n v="62463"/>
    <n v="71832.45"/>
    <n v="9369.4499999999971"/>
    <n v="327056268"/>
  </r>
  <r>
    <s v="Mar"/>
    <s v="Bajaj"/>
    <s v="CT 110X"/>
    <n v="115"/>
    <s v="&lt;=150"/>
    <x v="0"/>
    <n v="68000"/>
    <n v="0.28000000000000003"/>
    <n v="0.18"/>
    <n v="87040"/>
    <n v="80240"/>
    <n v="-6800"/>
    <n v="5783633920"/>
    <n v="6131555648"/>
    <n v="66448"/>
    <n v="76415.199999999997"/>
    <n v="9967.1999999999971"/>
    <n v="347921728"/>
  </r>
  <r>
    <s v="Apr"/>
    <s v="Bajaj"/>
    <s v="CT 110X"/>
    <n v="115"/>
    <s v="&lt;=150"/>
    <x v="0"/>
    <n v="68000"/>
    <n v="0.28000000000000003"/>
    <n v="0.18"/>
    <n v="87040"/>
    <n v="80240"/>
    <n v="-6800"/>
    <n v="6278717440"/>
    <n v="6656421536"/>
    <n v="72136"/>
    <n v="82956.399999999994"/>
    <n v="10820.399999999994"/>
    <n v="377704096"/>
  </r>
  <r>
    <s v="May"/>
    <s v="Bajaj"/>
    <s v="CT 110X"/>
    <n v="115"/>
    <s v="&lt;=150"/>
    <x v="0"/>
    <n v="68000"/>
    <n v="0.28000000000000003"/>
    <n v="0.18"/>
    <n v="87040"/>
    <n v="80240"/>
    <n v="-6800"/>
    <n v="5529477120"/>
    <n v="5862109728"/>
    <n v="63528"/>
    <n v="73057.2"/>
    <n v="9529.1999999999971"/>
    <n v="332632608"/>
  </r>
  <r>
    <s v="Jun"/>
    <s v="Bajaj"/>
    <s v="CT 110X"/>
    <n v="115"/>
    <s v="&lt;=150"/>
    <x v="0"/>
    <n v="68000"/>
    <n v="0.28000000000000003"/>
    <n v="0.18"/>
    <n v="87040"/>
    <n v="80240"/>
    <n v="-6800"/>
    <n v="4782586880"/>
    <n v="5070289372"/>
    <n v="54947"/>
    <n v="63189.049999999996"/>
    <n v="8242.0499999999956"/>
    <n v="287702492"/>
  </r>
  <r>
    <s v="Jul"/>
    <s v="Bajaj"/>
    <s v="CT 110X"/>
    <n v="115"/>
    <s v="&lt;=150"/>
    <x v="0"/>
    <n v="68000"/>
    <n v="0.28000000000000003"/>
    <n v="0.18"/>
    <n v="87040"/>
    <n v="80240"/>
    <n v="-6800"/>
    <n v="3885639680"/>
    <n v="4119385191.9999995"/>
    <n v="44642"/>
    <n v="51338.299999999996"/>
    <n v="6696.2999999999956"/>
    <n v="233745511.99999952"/>
  </r>
  <r>
    <s v="Aug"/>
    <s v="Bajaj"/>
    <s v="CT 110X"/>
    <n v="115"/>
    <s v="&lt;=150"/>
    <x v="0"/>
    <n v="68000"/>
    <n v="0.28000000000000003"/>
    <n v="0.18"/>
    <n v="87040"/>
    <n v="80240"/>
    <n v="-6800"/>
    <n v="4392473600"/>
    <n v="4656708339.999999"/>
    <n v="50465"/>
    <n v="58034.749999999993"/>
    <n v="7569.7499999999927"/>
    <n v="264234739.99999905"/>
  </r>
  <r>
    <s v="Sep"/>
    <s v="Bajaj"/>
    <s v="CT 110X"/>
    <n v="115"/>
    <s v="&lt;=150"/>
    <x v="0"/>
    <n v="68000"/>
    <n v="0.28000000000000003"/>
    <n v="0.18"/>
    <n v="87040"/>
    <n v="80240"/>
    <n v="-6800"/>
    <n v="4701117440"/>
    <n v="4983919036"/>
    <n v="54011"/>
    <n v="62112.649999999994"/>
    <n v="8101.6499999999942"/>
    <n v="282801596"/>
  </r>
  <r>
    <s v="Jan"/>
    <s v="Bajaj"/>
    <s v="Pulsar 125"/>
    <n v="124"/>
    <s v="&lt;=150"/>
    <x v="0"/>
    <n v="85000"/>
    <n v="0.28000000000000003"/>
    <n v="0.18"/>
    <n v="108800"/>
    <n v="100300"/>
    <n v="-8500"/>
    <n v="10662400000"/>
    <n v="11303809999.999998"/>
    <n v="98000"/>
    <n v="112699.99999999999"/>
    <n v="14699.999999999985"/>
    <n v="641409999.99999809"/>
  </r>
  <r>
    <s v="Feb"/>
    <s v="Bajaj"/>
    <s v="Pulsar 125"/>
    <n v="124"/>
    <s v="&lt;=150"/>
    <x v="0"/>
    <n v="85000"/>
    <n v="0.28000000000000003"/>
    <n v="0.18"/>
    <n v="108800"/>
    <n v="100300"/>
    <n v="-8500"/>
    <n v="9770240000"/>
    <n v="10357980999.999998"/>
    <n v="89800"/>
    <n v="103269.99999999999"/>
    <n v="13469.999999999985"/>
    <n v="587740999.99999809"/>
  </r>
  <r>
    <s v="Mar"/>
    <s v="Bajaj"/>
    <s v="Pulsar 125"/>
    <n v="124"/>
    <s v="&lt;=150"/>
    <x v="0"/>
    <n v="85000"/>
    <n v="0.28000000000000003"/>
    <n v="0.18"/>
    <n v="108800"/>
    <n v="100300"/>
    <n v="-8500"/>
    <n v="13556371200"/>
    <n v="14371871654.999998"/>
    <n v="124599"/>
    <n v="143288.84999999998"/>
    <n v="18689.849999999977"/>
    <n v="815500454.99999809"/>
  </r>
  <r>
    <s v="Apr"/>
    <s v="Bajaj"/>
    <s v="Pulsar 125"/>
    <n v="124"/>
    <s v="&lt;=150"/>
    <x v="0"/>
    <n v="85000"/>
    <n v="0.28000000000000003"/>
    <n v="0.18"/>
    <n v="108800"/>
    <n v="100300"/>
    <n v="-8500"/>
    <n v="9865984000"/>
    <n v="10459484599.999998"/>
    <n v="90680"/>
    <n v="104281.99999999999"/>
    <n v="13601.999999999985"/>
    <n v="593500599.99999809"/>
  </r>
  <r>
    <s v="May"/>
    <s v="Bajaj"/>
    <s v="Pulsar 125"/>
    <n v="124"/>
    <s v="&lt;=150"/>
    <x v="0"/>
    <n v="85000"/>
    <n v="0.28000000000000003"/>
    <n v="0.18"/>
    <n v="108800"/>
    <n v="100300"/>
    <n v="-8500"/>
    <n v="9851622400"/>
    <n v="10444259060"/>
    <n v="90548"/>
    <n v="104130.2"/>
    <n v="13582.199999999997"/>
    <n v="592636660"/>
  </r>
  <r>
    <s v="Jun"/>
    <s v="Bajaj"/>
    <s v="Pulsar 125"/>
    <n v="124"/>
    <s v="&lt;=150"/>
    <x v="0"/>
    <n v="85000"/>
    <n v="0.28000000000000003"/>
    <n v="0.18"/>
    <n v="108800"/>
    <n v="100300"/>
    <n v="-8500"/>
    <n v="8747411200"/>
    <n v="9273622655"/>
    <n v="80399"/>
    <n v="92458.849999999991"/>
    <n v="12059.849999999991"/>
    <n v="526211455"/>
  </r>
  <r>
    <s v="Jul"/>
    <s v="Bajaj"/>
    <s v="Pulsar 125"/>
    <n v="124"/>
    <s v="&lt;=150"/>
    <x v="0"/>
    <n v="85000"/>
    <n v="0.28000000000000003"/>
    <n v="0.18"/>
    <n v="108800"/>
    <n v="100300"/>
    <n v="-8500"/>
    <n v="7412652800"/>
    <n v="7858570194.999999"/>
    <n v="68131"/>
    <n v="78350.649999999994"/>
    <n v="10219.649999999994"/>
    <n v="445917394.99999905"/>
  </r>
  <r>
    <s v="Aug"/>
    <s v="Bajaj"/>
    <s v="Pulsar 125"/>
    <n v="124"/>
    <s v="&lt;=150"/>
    <x v="0"/>
    <n v="85000"/>
    <n v="0.28000000000000003"/>
    <n v="0.18"/>
    <n v="108800"/>
    <n v="100300"/>
    <n v="-8500"/>
    <n v="7932390400"/>
    <n v="8409573260"/>
    <n v="72908"/>
    <n v="83844.2"/>
    <n v="10936.199999999997"/>
    <n v="477182860"/>
  </r>
  <r>
    <s v="Sep"/>
    <s v="Bajaj"/>
    <s v="Pulsar 125"/>
    <n v="124"/>
    <s v="&lt;=150"/>
    <x v="0"/>
    <n v="85000"/>
    <n v="0.28000000000000003"/>
    <n v="0.18"/>
    <n v="108800"/>
    <n v="100300"/>
    <n v="-8500"/>
    <n v="7675187200"/>
    <n v="8136897679.999999"/>
    <n v="70544"/>
    <n v="81125.599999999991"/>
    <n v="10581.599999999991"/>
    <n v="461710479.99999905"/>
  </r>
  <r>
    <s v="Oct"/>
    <s v="Bajaj"/>
    <s v="Pulsar 125"/>
    <n v="124"/>
    <s v="&lt;=150"/>
    <x v="0"/>
    <n v="85000"/>
    <n v="0.28000000000000003"/>
    <n v="0.18"/>
    <n v="108800"/>
    <n v="100300"/>
    <n v="-8500"/>
    <n v="7496646400"/>
    <n v="7947616535"/>
    <n v="68903"/>
    <n v="79238.45"/>
    <n v="10335.449999999997"/>
    <n v="450970135"/>
  </r>
  <r>
    <s v="Nov"/>
    <s v="Bajaj"/>
    <s v="Pulsar 125"/>
    <n v="124"/>
    <s v="&lt;=150"/>
    <x v="0"/>
    <n v="85000"/>
    <n v="0.28000000000000003"/>
    <n v="0.18"/>
    <n v="108800"/>
    <n v="100300"/>
    <n v="-8500"/>
    <n v="7504153600"/>
    <n v="7955575339.999999"/>
    <n v="68972"/>
    <n v="79317.799999999988"/>
    <n v="10345.799999999988"/>
    <n v="451421739.99999905"/>
  </r>
  <r>
    <s v="Dec"/>
    <s v="Bajaj"/>
    <s v="Pulsar 125"/>
    <n v="124"/>
    <s v="&lt;=150"/>
    <x v="0"/>
    <n v="85000"/>
    <n v="0.28000000000000003"/>
    <n v="0.18"/>
    <n v="108800"/>
    <n v="100300"/>
    <n v="-8500"/>
    <n v="8869049600"/>
    <n v="9402578364.9999981"/>
    <n v="81517"/>
    <n v="93744.549999999988"/>
    <n v="12227.549999999988"/>
    <n v="533528764.99999809"/>
  </r>
  <r>
    <s v="Jan"/>
    <s v="Bajaj"/>
    <s v="Pulsar 125"/>
    <n v="124"/>
    <s v="&lt;=150"/>
    <x v="0"/>
    <n v="85000"/>
    <n v="0.28000000000000003"/>
    <n v="0.18"/>
    <n v="108800"/>
    <n v="100300"/>
    <n v="-8500"/>
    <n v="8320371200"/>
    <n v="8820893530"/>
    <n v="76474"/>
    <n v="87945.099999999991"/>
    <n v="11471.099999999991"/>
    <n v="500522330"/>
  </r>
  <r>
    <s v="Feb"/>
    <s v="Bajaj"/>
    <s v="Pulsar 125"/>
    <n v="124"/>
    <s v="&lt;=150"/>
    <x v="0"/>
    <n v="85000"/>
    <n v="0.28000000000000003"/>
    <n v="0.18"/>
    <n v="108800"/>
    <n v="100300"/>
    <n v="-8500"/>
    <n v="10286496000"/>
    <n v="10905293024.999998"/>
    <n v="94545"/>
    <n v="108726.74999999999"/>
    <n v="14181.749999999985"/>
    <n v="618797024.99999809"/>
  </r>
  <r>
    <s v="Mar"/>
    <s v="Bajaj"/>
    <s v="Pulsar 125"/>
    <n v="124"/>
    <s v="&lt;=150"/>
    <x v="0"/>
    <n v="85000"/>
    <n v="0.28000000000000003"/>
    <n v="0.18"/>
    <n v="108800"/>
    <n v="100300"/>
    <n v="-8500"/>
    <n v="8944121600"/>
    <n v="9482166414.9999981"/>
    <n v="82207"/>
    <n v="94538.049999999988"/>
    <n v="12331.049999999988"/>
    <n v="538044814.99999809"/>
  </r>
  <r>
    <s v="Apr"/>
    <s v="Bajaj"/>
    <s v="Pulsar 125"/>
    <n v="124"/>
    <s v="&lt;=150"/>
    <x v="0"/>
    <n v="85000"/>
    <n v="0.28000000000000003"/>
    <n v="0.18"/>
    <n v="108800"/>
    <n v="100300"/>
    <n v="-8500"/>
    <n v="8088736000"/>
    <n v="8575324025"/>
    <n v="74345"/>
    <n v="85496.75"/>
    <n v="11151.75"/>
    <n v="486588025"/>
  </r>
  <r>
    <s v="May"/>
    <s v="Bajaj"/>
    <s v="Pulsar 125"/>
    <n v="124"/>
    <s v="&lt;=150"/>
    <x v="0"/>
    <n v="85000"/>
    <n v="0.28000000000000003"/>
    <n v="0.18"/>
    <n v="108800"/>
    <n v="100300"/>
    <n v="-8500"/>
    <n v="9247891200"/>
    <n v="9804209655"/>
    <n v="84999"/>
    <n v="97748.849999999991"/>
    <n v="12749.849999999991"/>
    <n v="556318455"/>
  </r>
  <r>
    <s v="Jun"/>
    <s v="Bajaj"/>
    <s v="Pulsar 125"/>
    <n v="124"/>
    <s v="&lt;=150"/>
    <x v="0"/>
    <n v="85000"/>
    <n v="0.28000000000000003"/>
    <n v="0.18"/>
    <n v="108800"/>
    <n v="100300"/>
    <n v="-8500"/>
    <n v="8796588800"/>
    <n v="9325758595"/>
    <n v="80851"/>
    <n v="92978.65"/>
    <n v="12127.649999999994"/>
    <n v="529169795"/>
  </r>
  <r>
    <s v="Jul"/>
    <s v="Bajaj"/>
    <s v="Pulsar 125"/>
    <n v="124"/>
    <s v="&lt;=150"/>
    <x v="0"/>
    <n v="85000"/>
    <n v="0.28000000000000003"/>
    <n v="0.18"/>
    <n v="108800"/>
    <n v="100300"/>
    <n v="-8500"/>
    <n v="8089497600"/>
    <n v="8576131439.999999"/>
    <n v="74352"/>
    <n v="85504.799999999988"/>
    <n v="11152.799999999988"/>
    <n v="486633839.99999905"/>
  </r>
  <r>
    <s v="Aug"/>
    <s v="Bajaj"/>
    <s v="Pulsar 125"/>
    <n v="124"/>
    <s v="&lt;=150"/>
    <x v="0"/>
    <n v="85000"/>
    <n v="0.28000000000000003"/>
    <n v="0.18"/>
    <n v="108800"/>
    <n v="100300"/>
    <n v="-8500"/>
    <n v="7836646400"/>
    <n v="8308069660"/>
    <n v="72028"/>
    <n v="82832.2"/>
    <n v="10804.199999999997"/>
    <n v="471423260"/>
  </r>
  <r>
    <s v="Sep"/>
    <s v="Bajaj"/>
    <s v="Pulsar 125"/>
    <n v="124"/>
    <s v="&lt;=150"/>
    <x v="0"/>
    <n v="85000"/>
    <n v="0.28000000000000003"/>
    <n v="0.18"/>
    <n v="108800"/>
    <n v="100300"/>
    <n v="-8500"/>
    <n v="7461286400"/>
    <n v="7910129410"/>
    <n v="68578"/>
    <n v="78864.7"/>
    <n v="10286.699999999997"/>
    <n v="448843010"/>
  </r>
  <r>
    <s v="Oct"/>
    <s v="Bajaj"/>
    <s v="Pulsar 125"/>
    <n v="124"/>
    <s v="&lt;=150"/>
    <x v="0"/>
    <n v="85000"/>
    <n v="0.28000000000000003"/>
    <n v="0.18"/>
    <n v="108800"/>
    <n v="100300"/>
    <n v="-8500"/>
    <n v="7425056000"/>
    <n v="7871719525"/>
    <n v="68245"/>
    <n v="78481.75"/>
    <n v="10236.75"/>
    <n v="446663525"/>
  </r>
  <r>
    <s v="Nov"/>
    <s v="Bajaj"/>
    <s v="Pulsar 125"/>
    <n v="124"/>
    <s v="&lt;=150"/>
    <x v="0"/>
    <n v="85000"/>
    <n v="0.28000000000000003"/>
    <n v="0.18"/>
    <n v="108800"/>
    <n v="100300"/>
    <n v="-8500"/>
    <n v="8149120000"/>
    <n v="8639340500"/>
    <n v="74900"/>
    <n v="86135"/>
    <n v="11235"/>
    <n v="490220500"/>
  </r>
  <r>
    <s v="Dec"/>
    <s v="Bajaj"/>
    <s v="Pulsar 125"/>
    <n v="124"/>
    <s v="&lt;=150"/>
    <x v="0"/>
    <n v="85000"/>
    <n v="0.28000000000000003"/>
    <n v="0.18"/>
    <n v="108800"/>
    <n v="100300"/>
    <n v="-8500"/>
    <n v="7899859200"/>
    <n v="8375085104.999999"/>
    <n v="72609"/>
    <n v="83500.349999999991"/>
    <n v="10891.349999999991"/>
    <n v="475225904.99999905"/>
  </r>
  <r>
    <s v="Jan"/>
    <s v="Bajaj"/>
    <s v="Pulsar 125"/>
    <n v="124"/>
    <s v="&lt;=150"/>
    <x v="0"/>
    <n v="85000"/>
    <n v="0.28000000000000003"/>
    <n v="0.18"/>
    <n v="108800"/>
    <n v="100300"/>
    <n v="-8500"/>
    <n v="9047808000"/>
    <n v="9592090199.9999981"/>
    <n v="83160"/>
    <n v="95633.999999999985"/>
    <n v="12473.999999999985"/>
    <n v="544282199.99999809"/>
  </r>
  <r>
    <s v="Feb"/>
    <s v="Bajaj"/>
    <s v="Pulsar 125"/>
    <n v="124"/>
    <s v="&lt;=150"/>
    <x v="0"/>
    <n v="85000"/>
    <n v="0.28000000000000003"/>
    <n v="0.18"/>
    <n v="108800"/>
    <n v="100300"/>
    <n v="-8500"/>
    <n v="9582560000"/>
    <n v="10159010874.999998"/>
    <n v="88075"/>
    <n v="101286.24999999999"/>
    <n v="13211.249999999985"/>
    <n v="576450874.99999809"/>
  </r>
  <r>
    <s v="Mar"/>
    <s v="Bajaj"/>
    <s v="Pulsar 125"/>
    <n v="124"/>
    <s v="&lt;=150"/>
    <x v="0"/>
    <n v="85000"/>
    <n v="0.28000000000000003"/>
    <n v="0.18"/>
    <n v="108800"/>
    <n v="100300"/>
    <n v="-8500"/>
    <n v="9341241600"/>
    <n v="9903175664.9999981"/>
    <n v="85857"/>
    <n v="98735.549999999988"/>
    <n v="12878.549999999988"/>
    <n v="561934064.99999809"/>
  </r>
  <r>
    <s v="Apr"/>
    <s v="Bajaj"/>
    <s v="Pulsar 125"/>
    <n v="124"/>
    <s v="&lt;=150"/>
    <x v="0"/>
    <n v="85000"/>
    <n v="0.28000000000000003"/>
    <n v="0.18"/>
    <n v="108800"/>
    <n v="100300"/>
    <n v="-8500"/>
    <n v="8999283200"/>
    <n v="9540646330"/>
    <n v="82714"/>
    <n v="95121.099999999991"/>
    <n v="12407.099999999991"/>
    <n v="541363130"/>
  </r>
  <r>
    <s v="May"/>
    <s v="Bajaj"/>
    <s v="Pulsar 125"/>
    <n v="124"/>
    <s v="&lt;=150"/>
    <x v="0"/>
    <n v="85000"/>
    <n v="0.28000000000000003"/>
    <n v="0.18"/>
    <n v="108800"/>
    <n v="100300"/>
    <n v="-8500"/>
    <n v="8349420800"/>
    <n v="8851690645"/>
    <n v="76741"/>
    <n v="88252.15"/>
    <n v="11511.149999999994"/>
    <n v="502269845"/>
  </r>
  <r>
    <s v="Jun"/>
    <s v="Bajaj"/>
    <s v="Pulsar 125"/>
    <n v="124"/>
    <s v="&lt;=150"/>
    <x v="0"/>
    <n v="85000"/>
    <n v="0.28000000000000003"/>
    <n v="0.18"/>
    <n v="108800"/>
    <n v="100300"/>
    <n v="-8500"/>
    <n v="7906496000"/>
    <n v="8382121150"/>
    <n v="72670"/>
    <n v="83570.5"/>
    <n v="10900.5"/>
    <n v="475625150"/>
  </r>
  <r>
    <s v="Jul"/>
    <s v="Bajaj"/>
    <s v="Pulsar 125"/>
    <n v="124"/>
    <s v="&lt;=150"/>
    <x v="0"/>
    <n v="85000"/>
    <n v="0.28000000000000003"/>
    <n v="0.18"/>
    <n v="108800"/>
    <n v="100300"/>
    <n v="-8500"/>
    <n v="7551699200"/>
    <n v="8005981104.999999"/>
    <n v="69409"/>
    <n v="79820.349999999991"/>
    <n v="10411.349999999991"/>
    <n v="454281904.99999905"/>
  </r>
  <r>
    <s v="Aug"/>
    <s v="Bajaj"/>
    <s v="Pulsar 125"/>
    <n v="124"/>
    <s v="&lt;=150"/>
    <x v="0"/>
    <n v="85000"/>
    <n v="0.28000000000000003"/>
    <n v="0.18"/>
    <n v="108800"/>
    <n v="100300"/>
    <n v="-8500"/>
    <n v="8337996800"/>
    <n v="8839579420"/>
    <n v="76636"/>
    <n v="88131.4"/>
    <n v="11495.399999999994"/>
    <n v="501582620"/>
  </r>
  <r>
    <s v="Sep"/>
    <s v="Bajaj"/>
    <s v="Pulsar 125"/>
    <n v="124"/>
    <s v="&lt;=150"/>
    <x v="0"/>
    <n v="85000"/>
    <n v="0.28000000000000003"/>
    <n v="0.18"/>
    <n v="108800"/>
    <n v="100300"/>
    <n v="-8500"/>
    <n v="8395552000"/>
    <n v="8900596925"/>
    <n v="77165"/>
    <n v="88739.75"/>
    <n v="11574.75"/>
    <n v="505044925"/>
  </r>
  <r>
    <s v="Jan"/>
    <s v="Bajaj"/>
    <s v="Pulsar 150"/>
    <n v="149"/>
    <s v="&lt;=150"/>
    <x v="0"/>
    <n v="110000"/>
    <n v="0.28000000000000003"/>
    <n v="0.18"/>
    <n v="140800"/>
    <n v="129800"/>
    <n v="-11000"/>
    <n v="11151923200"/>
    <n v="11822781079.999998"/>
    <n v="79204"/>
    <n v="91084.599999999991"/>
    <n v="11880.599999999991"/>
    <n v="670857879.99999809"/>
  </r>
  <r>
    <s v="Feb"/>
    <s v="Bajaj"/>
    <s v="Pulsar 150"/>
    <n v="149"/>
    <s v="&lt;=150"/>
    <x v="0"/>
    <n v="110000"/>
    <n v="0.28000000000000003"/>
    <n v="0.18"/>
    <n v="140800"/>
    <n v="129800"/>
    <n v="-11000"/>
    <n v="11450560000"/>
    <n v="12139382750"/>
    <n v="81325"/>
    <n v="93523.75"/>
    <n v="12198.75"/>
    <n v="688822750"/>
  </r>
  <r>
    <s v="Mar"/>
    <s v="Bajaj"/>
    <s v="Pulsar 150"/>
    <n v="149"/>
    <s v="&lt;=150"/>
    <x v="0"/>
    <n v="110000"/>
    <n v="0.28000000000000003"/>
    <n v="0.18"/>
    <n v="140800"/>
    <n v="129800"/>
    <n v="-11000"/>
    <n v="11508569600"/>
    <n v="12200881989.999998"/>
    <n v="81737"/>
    <n v="93997.549999999988"/>
    <n v="12260.549999999988"/>
    <n v="692312389.99999809"/>
  </r>
  <r>
    <s v="Apr"/>
    <s v="Bajaj"/>
    <s v="Pulsar 150"/>
    <n v="149"/>
    <s v="&lt;=150"/>
    <x v="0"/>
    <n v="110000"/>
    <n v="0.28000000000000003"/>
    <n v="0.18"/>
    <n v="140800"/>
    <n v="129800"/>
    <n v="-11000"/>
    <n v="10915379200"/>
    <n v="11572007479.999998"/>
    <n v="77524"/>
    <n v="89152.599999999991"/>
    <n v="11628.599999999991"/>
    <n v="656628279.99999809"/>
  </r>
  <r>
    <s v="May"/>
    <s v="Bajaj"/>
    <s v="Pulsar 150"/>
    <n v="149"/>
    <s v="&lt;=150"/>
    <x v="0"/>
    <n v="110000"/>
    <n v="0.28000000000000003"/>
    <n v="0.18"/>
    <n v="140800"/>
    <n v="129800"/>
    <n v="-11000"/>
    <n v="10032281600"/>
    <n v="10635786039.999998"/>
    <n v="71252"/>
    <n v="81939.799999999988"/>
    <n v="10687.799999999988"/>
    <n v="603504439.99999809"/>
  </r>
  <r>
    <s v="Jun"/>
    <s v="Bajaj"/>
    <s v="Pulsar 150"/>
    <n v="149"/>
    <s v="&lt;=150"/>
    <x v="0"/>
    <n v="110000"/>
    <n v="0.28000000000000003"/>
    <n v="0.18"/>
    <n v="140800"/>
    <n v="129800"/>
    <n v="-11000"/>
    <n v="8934323200"/>
    <n v="9471778579.9999981"/>
    <n v="63454"/>
    <n v="72972.099999999991"/>
    <n v="9518.0999999999913"/>
    <n v="537455379.99999809"/>
  </r>
  <r>
    <s v="Jul"/>
    <s v="Bajaj"/>
    <s v="Pulsar 150"/>
    <n v="149"/>
    <s v="&lt;=150"/>
    <x v="0"/>
    <n v="110000"/>
    <n v="0.28000000000000003"/>
    <n v="0.18"/>
    <n v="140800"/>
    <n v="129800"/>
    <n v="-11000"/>
    <n v="10782886400"/>
    <n v="11431544410"/>
    <n v="76583"/>
    <n v="88070.45"/>
    <n v="11487.449999999997"/>
    <n v="648658010"/>
  </r>
  <r>
    <s v="Aug"/>
    <s v="Bajaj"/>
    <s v="Pulsar 150"/>
    <n v="149"/>
    <s v="&lt;=150"/>
    <x v="0"/>
    <n v="110000"/>
    <n v="0.28000000000000003"/>
    <n v="0.18"/>
    <n v="140800"/>
    <n v="129800"/>
    <n v="-11000"/>
    <n v="9806438400"/>
    <n v="10396356960"/>
    <n v="69648"/>
    <n v="80095.199999999997"/>
    <n v="10447.199999999997"/>
    <n v="589918560"/>
  </r>
  <r>
    <s v="Sep"/>
    <s v="Bajaj"/>
    <s v="Pulsar 150"/>
    <n v="149"/>
    <s v="&lt;=150"/>
    <x v="0"/>
    <n v="110000"/>
    <n v="0.28000000000000003"/>
    <n v="0.18"/>
    <n v="140800"/>
    <n v="129800"/>
    <n v="-11000"/>
    <n v="10132531200"/>
    <n v="10742066279.999998"/>
    <n v="71964"/>
    <n v="82758.599999999991"/>
    <n v="10794.599999999991"/>
    <n v="609535079.99999809"/>
  </r>
  <r>
    <s v="Oct"/>
    <s v="Bajaj"/>
    <s v="Pulsar 150"/>
    <n v="149"/>
    <s v="&lt;=150"/>
    <x v="0"/>
    <n v="110000"/>
    <n v="0.28000000000000003"/>
    <n v="0.18"/>
    <n v="140800"/>
    <n v="129800"/>
    <n v="-11000"/>
    <n v="9684224000"/>
    <n v="10266790600"/>
    <n v="68780"/>
    <n v="79097"/>
    <n v="10317"/>
    <n v="582566600"/>
  </r>
  <r>
    <s v="Nov"/>
    <s v="Bajaj"/>
    <s v="Pulsar 150"/>
    <n v="149"/>
    <s v="&lt;=150"/>
    <x v="0"/>
    <n v="110000"/>
    <n v="0.28000000000000003"/>
    <n v="0.18"/>
    <n v="140800"/>
    <n v="129800"/>
    <n v="-11000"/>
    <n v="9548492800"/>
    <n v="10122894320"/>
    <n v="67816"/>
    <n v="77988.399999999994"/>
    <n v="10172.399999999994"/>
    <n v="574401520"/>
  </r>
  <r>
    <s v="Dec"/>
    <s v="Bajaj"/>
    <s v="Pulsar 150"/>
    <n v="149"/>
    <s v="&lt;=150"/>
    <x v="0"/>
    <n v="110000"/>
    <n v="0.28000000000000003"/>
    <n v="0.18"/>
    <n v="140800"/>
    <n v="129800"/>
    <n v="-11000"/>
    <n v="10084518400"/>
    <n v="10691165210"/>
    <n v="71623"/>
    <n v="82366.45"/>
    <n v="10743.449999999997"/>
    <n v="606646810"/>
  </r>
  <r>
    <s v="Jan"/>
    <s v="Bajaj"/>
    <s v="Pulsar 150"/>
    <n v="149"/>
    <s v="&lt;=150"/>
    <x v="0"/>
    <n v="110000"/>
    <n v="0.28000000000000003"/>
    <n v="0.18"/>
    <n v="140800"/>
    <n v="129800"/>
    <n v="-11000"/>
    <n v="12019532800"/>
    <n v="12742582820"/>
    <n v="85366"/>
    <n v="98170.9"/>
    <n v="12804.899999999994"/>
    <n v="723050020"/>
  </r>
  <r>
    <s v="Feb"/>
    <s v="Bajaj"/>
    <s v="Pulsar 150"/>
    <n v="149"/>
    <s v="&lt;=150"/>
    <x v="0"/>
    <n v="110000"/>
    <n v="0.28000000000000003"/>
    <n v="0.18"/>
    <n v="140800"/>
    <n v="129800"/>
    <n v="-11000"/>
    <n v="12076134400"/>
    <n v="12802589360"/>
    <n v="85768"/>
    <n v="98633.2"/>
    <n v="12865.199999999997"/>
    <n v="726454960"/>
  </r>
  <r>
    <s v="Mar"/>
    <s v="Bajaj"/>
    <s v="Pulsar 150"/>
    <n v="149"/>
    <s v="&lt;=150"/>
    <x v="0"/>
    <n v="110000"/>
    <n v="0.28000000000000003"/>
    <n v="0.18"/>
    <n v="140800"/>
    <n v="129800"/>
    <n v="-11000"/>
    <n v="15407603200"/>
    <n v="16334466829.999998"/>
    <n v="109429"/>
    <n v="125843.34999999999"/>
    <n v="16414.349999999991"/>
    <n v="926863629.99999809"/>
  </r>
  <r>
    <s v="Apr"/>
    <s v="Bajaj"/>
    <s v="Pulsar 150"/>
    <n v="149"/>
    <s v="&lt;=150"/>
    <x v="0"/>
    <n v="110000"/>
    <n v="0.28000000000000003"/>
    <n v="0.18"/>
    <n v="140800"/>
    <n v="129800"/>
    <n v="-11000"/>
    <n v="12268185600"/>
    <n v="13006193639.999998"/>
    <n v="87132"/>
    <n v="100201.79999999999"/>
    <n v="13069.799999999988"/>
    <n v="738008039.99999809"/>
  </r>
  <r>
    <s v="May"/>
    <s v="Bajaj"/>
    <s v="Pulsar 150"/>
    <n v="149"/>
    <s v="&lt;=150"/>
    <x v="0"/>
    <n v="110000"/>
    <n v="0.28000000000000003"/>
    <n v="0.18"/>
    <n v="140800"/>
    <n v="129800"/>
    <n v="-11000"/>
    <n v="12201024000"/>
    <n v="12934991849.999998"/>
    <n v="86655"/>
    <n v="99653.249999999985"/>
    <n v="12998.249999999985"/>
    <n v="733967849.99999809"/>
  </r>
  <r>
    <s v="Jun"/>
    <s v="Bajaj"/>
    <s v="Pulsar 150"/>
    <n v="149"/>
    <s v="&lt;=150"/>
    <x v="0"/>
    <n v="110000"/>
    <n v="0.28000000000000003"/>
    <n v="0.18"/>
    <n v="140800"/>
    <n v="129800"/>
    <n v="-11000"/>
    <n v="10797529600"/>
    <n v="11447068489.999998"/>
    <n v="76687"/>
    <n v="88190.049999999988"/>
    <n v="11503.049999999988"/>
    <n v="649538889.99999809"/>
  </r>
  <r>
    <s v="Jul"/>
    <s v="Bajaj"/>
    <s v="Pulsar 150"/>
    <n v="149"/>
    <s v="&lt;=150"/>
    <x v="0"/>
    <n v="110000"/>
    <n v="0.28000000000000003"/>
    <n v="0.18"/>
    <n v="140800"/>
    <n v="129800"/>
    <n v="-11000"/>
    <n v="8766067200"/>
    <n v="9293400929.9999981"/>
    <n v="62259"/>
    <n v="71597.849999999991"/>
    <n v="9338.8499999999913"/>
    <n v="527333729.99999809"/>
  </r>
  <r>
    <s v="Aug"/>
    <s v="Bajaj"/>
    <s v="Pulsar 150"/>
    <n v="149"/>
    <s v="&lt;=150"/>
    <x v="0"/>
    <n v="110000"/>
    <n v="0.28000000000000003"/>
    <n v="0.18"/>
    <n v="140800"/>
    <n v="129800"/>
    <n v="-11000"/>
    <n v="8888844800"/>
    <n v="9423564370"/>
    <n v="63131"/>
    <n v="72600.649999999994"/>
    <n v="9469.6499999999942"/>
    <n v="534719570"/>
  </r>
  <r>
    <s v="Sep"/>
    <s v="Bajaj"/>
    <s v="Pulsar 150"/>
    <n v="149"/>
    <s v="&lt;=150"/>
    <x v="0"/>
    <n v="110000"/>
    <n v="0.28000000000000003"/>
    <n v="0.18"/>
    <n v="140800"/>
    <n v="129800"/>
    <n v="-11000"/>
    <n v="9610585600"/>
    <n v="10188722389.999998"/>
    <n v="68257"/>
    <n v="78495.549999999988"/>
    <n v="10238.549999999988"/>
    <n v="578136789.99999809"/>
  </r>
  <r>
    <s v="Oct"/>
    <s v="Bajaj"/>
    <s v="Pulsar 150"/>
    <n v="149"/>
    <s v="&lt;=150"/>
    <x v="0"/>
    <n v="110000"/>
    <n v="0.28000000000000003"/>
    <n v="0.18"/>
    <n v="140800"/>
    <n v="129800"/>
    <n v="-11000"/>
    <n v="9774617600"/>
    <n v="10362621939.999998"/>
    <n v="69422"/>
    <n v="79835.299999999988"/>
    <n v="10413.299999999988"/>
    <n v="588004339.99999809"/>
  </r>
  <r>
    <s v="Nov"/>
    <s v="Bajaj"/>
    <s v="Pulsar 150"/>
    <n v="149"/>
    <s v="&lt;=150"/>
    <x v="0"/>
    <n v="110000"/>
    <n v="0.28000000000000003"/>
    <n v="0.18"/>
    <n v="140800"/>
    <n v="129800"/>
    <n v="-11000"/>
    <n v="9886412800"/>
    <n v="10481142320"/>
    <n v="70216"/>
    <n v="80748.399999999994"/>
    <n v="10532.399999999994"/>
    <n v="594729520"/>
  </r>
  <r>
    <s v="Dec"/>
    <s v="Bajaj"/>
    <s v="Pulsar 150"/>
    <n v="149"/>
    <s v="&lt;=150"/>
    <x v="0"/>
    <n v="110000"/>
    <n v="0.28000000000000003"/>
    <n v="0.18"/>
    <n v="140800"/>
    <n v="129800"/>
    <n v="-11000"/>
    <n v="10323033600"/>
    <n v="10944028589.999998"/>
    <n v="73317"/>
    <n v="84314.549999999988"/>
    <n v="10997.549999999988"/>
    <n v="620994989.99999809"/>
  </r>
  <r>
    <s v="Jan"/>
    <s v="Bajaj"/>
    <s v="Pulsar 150"/>
    <n v="149"/>
    <s v="&lt;=150"/>
    <x v="0"/>
    <n v="110000"/>
    <n v="0.28000000000000003"/>
    <n v="0.18"/>
    <n v="140800"/>
    <n v="129800"/>
    <n v="-11000"/>
    <n v="12580339200"/>
    <n v="13337125229.999998"/>
    <n v="89349"/>
    <n v="102751.34999999999"/>
    <n v="13402.349999999991"/>
    <n v="756786029.99999809"/>
  </r>
  <r>
    <s v="Feb"/>
    <s v="Bajaj"/>
    <s v="Pulsar 150"/>
    <n v="149"/>
    <s v="&lt;=150"/>
    <x v="0"/>
    <n v="110000"/>
    <n v="0.28000000000000003"/>
    <n v="0.18"/>
    <n v="140800"/>
    <n v="129800"/>
    <n v="-11000"/>
    <n v="11070540800"/>
    <n v="11736503020"/>
    <n v="78626"/>
    <n v="90419.9"/>
    <n v="11793.899999999994"/>
    <n v="665962220"/>
  </r>
  <r>
    <s v="Mar"/>
    <s v="Bajaj"/>
    <s v="Pulsar 150"/>
    <n v="149"/>
    <s v="&lt;=150"/>
    <x v="0"/>
    <n v="110000"/>
    <n v="0.28000000000000003"/>
    <n v="0.18"/>
    <n v="140800"/>
    <n v="129800"/>
    <n v="-11000"/>
    <n v="11094195200"/>
    <n v="11761580379.999998"/>
    <n v="78794"/>
    <n v="90613.099999999991"/>
    <n v="11819.099999999991"/>
    <n v="667385179.99999809"/>
  </r>
  <r>
    <s v="Apr"/>
    <s v="Bajaj"/>
    <s v="Pulsar 150"/>
    <n v="149"/>
    <s v="&lt;=150"/>
    <x v="0"/>
    <n v="110000"/>
    <n v="0.28000000000000003"/>
    <n v="0.18"/>
    <n v="140800"/>
    <n v="129800"/>
    <n v="-11000"/>
    <n v="11882956800"/>
    <n v="12597790920"/>
    <n v="84396"/>
    <n v="97055.4"/>
    <n v="12659.399999999994"/>
    <n v="714834120"/>
  </r>
  <r>
    <s v="May"/>
    <s v="Bajaj"/>
    <s v="Pulsar 150"/>
    <n v="149"/>
    <s v="&lt;=150"/>
    <x v="0"/>
    <n v="110000"/>
    <n v="0.28000000000000003"/>
    <n v="0.18"/>
    <n v="140800"/>
    <n v="129800"/>
    <n v="-11000"/>
    <n v="11170931200"/>
    <n v="11842932529.999998"/>
    <n v="79339"/>
    <n v="91239.849999999991"/>
    <n v="11900.849999999991"/>
    <n v="672001329.99999809"/>
  </r>
  <r>
    <s v="Jun"/>
    <s v="Bajaj"/>
    <s v="Pulsar 150"/>
    <n v="149"/>
    <s v="&lt;=150"/>
    <x v="0"/>
    <n v="110000"/>
    <n v="0.28000000000000003"/>
    <n v="0.18"/>
    <n v="140800"/>
    <n v="129800"/>
    <n v="-11000"/>
    <n v="11001126400"/>
    <n v="11662912910"/>
    <n v="78133"/>
    <n v="89852.95"/>
    <n v="11719.949999999997"/>
    <n v="661786510"/>
  </r>
  <r>
    <s v="Jul"/>
    <s v="Bajaj"/>
    <s v="Pulsar 150"/>
    <n v="149"/>
    <s v="&lt;=150"/>
    <x v="0"/>
    <n v="110000"/>
    <n v="0.28000000000000003"/>
    <n v="0.18"/>
    <n v="140800"/>
    <n v="129800"/>
    <n v="-11000"/>
    <n v="9541030400"/>
    <n v="10114983010"/>
    <n v="67763"/>
    <n v="77927.45"/>
    <n v="10164.449999999997"/>
    <n v="573952610"/>
  </r>
  <r>
    <s v="Aug"/>
    <s v="Bajaj"/>
    <s v="Pulsar 150"/>
    <n v="149"/>
    <s v="&lt;=150"/>
    <x v="0"/>
    <n v="110000"/>
    <n v="0.28000000000000003"/>
    <n v="0.18"/>
    <n v="140800"/>
    <n v="129800"/>
    <n v="-11000"/>
    <n v="9741670400"/>
    <n v="10327692760"/>
    <n v="69188"/>
    <n v="79566.2"/>
    <n v="10378.199999999997"/>
    <n v="586022360"/>
  </r>
  <r>
    <s v="Sep"/>
    <s v="Bajaj"/>
    <s v="Pulsar 150"/>
    <n v="149"/>
    <s v="&lt;=150"/>
    <x v="0"/>
    <n v="110000"/>
    <n v="0.28000000000000003"/>
    <n v="0.18"/>
    <n v="140800"/>
    <n v="129800"/>
    <n v="-11000"/>
    <n v="7770470400"/>
    <n v="8237912760"/>
    <n v="55188"/>
    <n v="63466.2"/>
    <n v="8278.1999999999971"/>
    <n v="467442360"/>
  </r>
  <r>
    <s v="Jan"/>
    <s v="Bajaj"/>
    <s v="Pulsar NS160"/>
    <n v="160"/>
    <s v="151-350"/>
    <x v="1"/>
    <n v="125000"/>
    <n v="0.28000000000000003"/>
    <n v="0.18"/>
    <n v="160000"/>
    <n v="147500"/>
    <n v="-12500"/>
    <n v="8137440000"/>
    <n v="7876787625.000001"/>
    <n v="50859"/>
    <n v="53401.950000000004"/>
    <n v="2542.9500000000044"/>
    <n v="-260652374.99999905"/>
  </r>
  <r>
    <s v="Feb"/>
    <s v="Bajaj"/>
    <s v="Pulsar NS160"/>
    <n v="160"/>
    <s v="151-350"/>
    <x v="1"/>
    <n v="125000"/>
    <n v="0.28000000000000003"/>
    <n v="0.18"/>
    <n v="160000"/>
    <n v="147500"/>
    <n v="-12500"/>
    <n v="8410720000"/>
    <n v="8141314125.000001"/>
    <n v="52567"/>
    <n v="55195.350000000006"/>
    <n v="2628.3500000000058"/>
    <n v="-269405874.99999905"/>
  </r>
  <r>
    <s v="Mar"/>
    <s v="Bajaj"/>
    <s v="Pulsar NS160"/>
    <n v="160"/>
    <s v="151-350"/>
    <x v="1"/>
    <n v="125000"/>
    <n v="0.28000000000000003"/>
    <n v="0.18"/>
    <n v="160000"/>
    <n v="147500"/>
    <n v="-12500"/>
    <n v="8706880000"/>
    <n v="8427987750"/>
    <n v="54418"/>
    <n v="57138.9"/>
    <n v="2720.9000000000015"/>
    <n v="-278892250"/>
  </r>
  <r>
    <s v="Apr"/>
    <s v="Bajaj"/>
    <s v="Pulsar NS160"/>
    <n v="160"/>
    <s v="151-350"/>
    <x v="1"/>
    <n v="125000"/>
    <n v="0.28000000000000003"/>
    <n v="0.18"/>
    <n v="160000"/>
    <n v="147500"/>
    <n v="-12500"/>
    <n v="9680000000"/>
    <n v="9369937500"/>
    <n v="60500"/>
    <n v="63525"/>
    <n v="3025"/>
    <n v="-310062500"/>
  </r>
  <r>
    <s v="May"/>
    <s v="Bajaj"/>
    <s v="Pulsar NS160"/>
    <n v="160"/>
    <s v="151-350"/>
    <x v="1"/>
    <n v="125000"/>
    <n v="0.28000000000000003"/>
    <n v="0.18"/>
    <n v="160000"/>
    <n v="147500"/>
    <n v="-12500"/>
    <n v="8959840000"/>
    <n v="8672845125"/>
    <n v="55999"/>
    <n v="58798.950000000004"/>
    <n v="2799.9500000000044"/>
    <n v="-286994875"/>
  </r>
  <r>
    <s v="Jun"/>
    <s v="Bajaj"/>
    <s v="Pulsar NS160"/>
    <n v="160"/>
    <s v="151-350"/>
    <x v="1"/>
    <n v="125000"/>
    <n v="0.28000000000000003"/>
    <n v="0.18"/>
    <n v="160000"/>
    <n v="147500"/>
    <n v="-12500"/>
    <n v="8085440000"/>
    <n v="7826453250.000001"/>
    <n v="50534"/>
    <n v="53060.700000000004"/>
    <n v="2526.7000000000044"/>
    <n v="-258986749.99999905"/>
  </r>
  <r>
    <s v="Jul"/>
    <s v="Bajaj"/>
    <s v="Pulsar NS160"/>
    <n v="160"/>
    <s v="151-350"/>
    <x v="1"/>
    <n v="125000"/>
    <n v="0.28000000000000003"/>
    <n v="0.18"/>
    <n v="160000"/>
    <n v="147500"/>
    <n v="-12500"/>
    <n v="7177440000"/>
    <n v="6947537625.000001"/>
    <n v="44859"/>
    <n v="47101.950000000004"/>
    <n v="2242.9500000000044"/>
    <n v="-229902374.99999905"/>
  </r>
  <r>
    <s v="Aug"/>
    <s v="Bajaj"/>
    <s v="Pulsar NS160"/>
    <n v="160"/>
    <s v="151-350"/>
    <x v="1"/>
    <n v="125000"/>
    <n v="0.28000000000000003"/>
    <n v="0.18"/>
    <n v="160000"/>
    <n v="147500"/>
    <n v="-12500"/>
    <n v="7047680000"/>
    <n v="6821934000"/>
    <n v="44048"/>
    <n v="46250.400000000001"/>
    <n v="2202.4000000000015"/>
    <n v="-225746000"/>
  </r>
  <r>
    <s v="Sep"/>
    <s v="Bajaj"/>
    <s v="Pulsar NS160"/>
    <n v="160"/>
    <s v="151-350"/>
    <x v="1"/>
    <n v="125000"/>
    <n v="0.28000000000000003"/>
    <n v="0.18"/>
    <n v="160000"/>
    <n v="147500"/>
    <n v="-12500"/>
    <n v="6950880000"/>
    <n v="6728234625"/>
    <n v="43443"/>
    <n v="45615.15"/>
    <n v="2172.1500000000015"/>
    <n v="-222645375"/>
  </r>
  <r>
    <s v="Oct"/>
    <s v="Bajaj"/>
    <s v="Pulsar NS160"/>
    <n v="160"/>
    <s v="151-350"/>
    <x v="1"/>
    <n v="125000"/>
    <n v="0.28000000000000003"/>
    <n v="0.18"/>
    <n v="160000"/>
    <n v="147500"/>
    <n v="-12500"/>
    <n v="6592640000"/>
    <n v="6381469500.000001"/>
    <n v="41204"/>
    <n v="43264.200000000004"/>
    <n v="2060.2000000000044"/>
    <n v="-211170499.99999905"/>
  </r>
  <r>
    <s v="Nov"/>
    <s v="Bajaj"/>
    <s v="Pulsar NS160"/>
    <n v="160"/>
    <s v="151-350"/>
    <x v="1"/>
    <n v="125000"/>
    <n v="0.28000000000000003"/>
    <n v="0.18"/>
    <n v="160000"/>
    <n v="147500"/>
    <n v="-12500"/>
    <n v="7046240000"/>
    <n v="6820540125.000001"/>
    <n v="44039"/>
    <n v="46240.950000000004"/>
    <n v="2201.9500000000044"/>
    <n v="-225699874.99999905"/>
  </r>
  <r>
    <s v="Dec"/>
    <s v="Bajaj"/>
    <s v="Pulsar NS160"/>
    <n v="160"/>
    <s v="151-350"/>
    <x v="1"/>
    <n v="125000"/>
    <n v="0.28000000000000003"/>
    <n v="0.18"/>
    <n v="160000"/>
    <n v="147500"/>
    <n v="-12500"/>
    <n v="9494560000"/>
    <n v="9190437375"/>
    <n v="59341"/>
    <n v="62308.05"/>
    <n v="2967.0500000000029"/>
    <n v="-304122625"/>
  </r>
  <r>
    <s v="Jan"/>
    <s v="Bajaj"/>
    <s v="Pulsar NS160"/>
    <n v="160"/>
    <s v="151-350"/>
    <x v="1"/>
    <n v="125000"/>
    <n v="0.28000000000000003"/>
    <n v="0.18"/>
    <n v="160000"/>
    <n v="147500"/>
    <n v="-12500"/>
    <n v="8761600000"/>
    <n v="8480955000"/>
    <n v="54760"/>
    <n v="57498"/>
    <n v="2738"/>
    <n v="-280645000"/>
  </r>
  <r>
    <s v="Feb"/>
    <s v="Bajaj"/>
    <s v="Pulsar NS160"/>
    <n v="160"/>
    <s v="151-350"/>
    <x v="1"/>
    <n v="125000"/>
    <n v="0.28000000000000003"/>
    <n v="0.18"/>
    <n v="160000"/>
    <n v="147500"/>
    <n v="-12500"/>
    <n v="7851200000"/>
    <n v="7599716250"/>
    <n v="49070"/>
    <n v="51523.5"/>
    <n v="2453.5"/>
    <n v="-251483750"/>
  </r>
  <r>
    <s v="Mar"/>
    <s v="Bajaj"/>
    <s v="Pulsar NS160"/>
    <n v="160"/>
    <s v="151-350"/>
    <x v="1"/>
    <n v="125000"/>
    <n v="0.28000000000000003"/>
    <n v="0.18"/>
    <n v="160000"/>
    <n v="147500"/>
    <n v="-12500"/>
    <n v="9057120000"/>
    <n v="8767009125"/>
    <n v="56607"/>
    <n v="59437.350000000006"/>
    <n v="2830.3500000000058"/>
    <n v="-290110875"/>
  </r>
  <r>
    <s v="Apr"/>
    <s v="Bajaj"/>
    <s v="Pulsar NS160"/>
    <n v="160"/>
    <s v="151-350"/>
    <x v="1"/>
    <n v="125000"/>
    <n v="0.28000000000000003"/>
    <n v="0.18"/>
    <n v="160000"/>
    <n v="147500"/>
    <n v="-12500"/>
    <n v="9313120000"/>
    <n v="9014809125"/>
    <n v="58207"/>
    <n v="61117.350000000006"/>
    <n v="2910.3500000000058"/>
    <n v="-298310875"/>
  </r>
  <r>
    <s v="May"/>
    <s v="Bajaj"/>
    <s v="Pulsar NS160"/>
    <n v="160"/>
    <s v="151-350"/>
    <x v="1"/>
    <n v="125000"/>
    <n v="0.28000000000000003"/>
    <n v="0.18"/>
    <n v="160000"/>
    <n v="147500"/>
    <n v="-12500"/>
    <n v="10025600000"/>
    <n v="9704467500"/>
    <n v="62660"/>
    <n v="65793"/>
    <n v="3133"/>
    <n v="-321132500"/>
  </r>
  <r>
    <s v="Jun"/>
    <s v="Bajaj"/>
    <s v="Pulsar NS160"/>
    <n v="160"/>
    <s v="151-350"/>
    <x v="1"/>
    <n v="125000"/>
    <n v="0.28000000000000003"/>
    <n v="0.18"/>
    <n v="160000"/>
    <n v="147500"/>
    <n v="-12500"/>
    <n v="7571840000"/>
    <n v="7329304500.000001"/>
    <n v="47324"/>
    <n v="49690.200000000004"/>
    <n v="2366.2000000000044"/>
    <n v="-242535499.99999905"/>
  </r>
  <r>
    <s v="Jul"/>
    <s v="Bajaj"/>
    <s v="Pulsar NS160"/>
    <n v="160"/>
    <s v="151-350"/>
    <x v="1"/>
    <n v="125000"/>
    <n v="0.28000000000000003"/>
    <n v="0.18"/>
    <n v="160000"/>
    <n v="147500"/>
    <n v="-12500"/>
    <n v="7974080000"/>
    <n v="7718660250"/>
    <n v="49838"/>
    <n v="52329.9"/>
    <n v="2491.9000000000015"/>
    <n v="-255419750"/>
  </r>
  <r>
    <s v="Aug"/>
    <s v="Bajaj"/>
    <s v="Pulsar NS160"/>
    <n v="160"/>
    <s v="151-350"/>
    <x v="1"/>
    <n v="125000"/>
    <n v="0.28000000000000003"/>
    <n v="0.18"/>
    <n v="160000"/>
    <n v="147500"/>
    <n v="-12500"/>
    <n v="6365760000"/>
    <n v="6161856750"/>
    <n v="39786"/>
    <n v="41775.300000000003"/>
    <n v="1989.3000000000029"/>
    <n v="-203903250"/>
  </r>
  <r>
    <s v="Sep"/>
    <s v="Bajaj"/>
    <s v="Pulsar NS160"/>
    <n v="160"/>
    <s v="151-350"/>
    <x v="1"/>
    <n v="125000"/>
    <n v="0.28000000000000003"/>
    <n v="0.18"/>
    <n v="160000"/>
    <n v="147500"/>
    <n v="-12500"/>
    <n v="5653760000"/>
    <n v="5472663000"/>
    <n v="35336"/>
    <n v="37102.800000000003"/>
    <n v="1766.8000000000029"/>
    <n v="-181097000"/>
  </r>
  <r>
    <s v="Oct"/>
    <s v="Bajaj"/>
    <s v="Pulsar NS160"/>
    <n v="160"/>
    <s v="151-350"/>
    <x v="1"/>
    <n v="125000"/>
    <n v="0.28000000000000003"/>
    <n v="0.18"/>
    <n v="160000"/>
    <n v="147500"/>
    <n v="-12500"/>
    <n v="7688800000"/>
    <n v="7442518125"/>
    <n v="48055"/>
    <n v="50457.75"/>
    <n v="2402.75"/>
    <n v="-246281875"/>
  </r>
  <r>
    <s v="Nov"/>
    <s v="Bajaj"/>
    <s v="Pulsar NS160"/>
    <n v="160"/>
    <s v="151-350"/>
    <x v="1"/>
    <n v="125000"/>
    <n v="0.28000000000000003"/>
    <n v="0.18"/>
    <n v="160000"/>
    <n v="147500"/>
    <n v="-12500"/>
    <n v="8809600000"/>
    <n v="8527417500"/>
    <n v="55060"/>
    <n v="57813"/>
    <n v="2753"/>
    <n v="-282182500"/>
  </r>
  <r>
    <s v="Dec"/>
    <s v="Bajaj"/>
    <s v="Pulsar NS160"/>
    <n v="160"/>
    <s v="151-350"/>
    <x v="1"/>
    <n v="125000"/>
    <n v="0.28000000000000003"/>
    <n v="0.18"/>
    <n v="160000"/>
    <n v="147500"/>
    <n v="-12500"/>
    <n v="7024160000"/>
    <n v="6799167375"/>
    <n v="43901"/>
    <n v="46096.05"/>
    <n v="2195.0500000000029"/>
    <n v="-224992625"/>
  </r>
  <r>
    <s v="Jan"/>
    <s v="Bajaj"/>
    <s v="Pulsar NS160"/>
    <n v="160"/>
    <s v="151-350"/>
    <x v="1"/>
    <n v="125000"/>
    <n v="0.28000000000000003"/>
    <n v="0.18"/>
    <n v="160000"/>
    <n v="147500"/>
    <n v="-12500"/>
    <n v="7883200000"/>
    <n v="7630691250"/>
    <n v="49270"/>
    <n v="51733.5"/>
    <n v="2463.5"/>
    <n v="-252508750"/>
  </r>
  <r>
    <s v="Feb"/>
    <s v="Bajaj"/>
    <s v="Pulsar NS160"/>
    <n v="160"/>
    <s v="151-350"/>
    <x v="1"/>
    <n v="125000"/>
    <n v="0.28000000000000003"/>
    <n v="0.18"/>
    <n v="160000"/>
    <n v="147500"/>
    <n v="-12500"/>
    <n v="9973280000"/>
    <n v="9653823375"/>
    <n v="62333"/>
    <n v="65449.65"/>
    <n v="3116.6500000000015"/>
    <n v="-319456625"/>
  </r>
  <r>
    <s v="Mar"/>
    <s v="Bajaj"/>
    <s v="Pulsar NS160"/>
    <n v="160"/>
    <s v="151-350"/>
    <x v="1"/>
    <n v="125000"/>
    <n v="0.28000000000000003"/>
    <n v="0.18"/>
    <n v="160000"/>
    <n v="147500"/>
    <n v="-12500"/>
    <n v="9866720000"/>
    <n v="9550676625"/>
    <n v="61667"/>
    <n v="64750.350000000006"/>
    <n v="3083.3500000000058"/>
    <n v="-316043375"/>
  </r>
  <r>
    <s v="Apr"/>
    <s v="Bajaj"/>
    <s v="Pulsar NS160"/>
    <n v="160"/>
    <s v="151-350"/>
    <x v="1"/>
    <n v="125000"/>
    <n v="0.28000000000000003"/>
    <n v="0.18"/>
    <n v="160000"/>
    <n v="147500"/>
    <n v="-12500"/>
    <n v="8808480000"/>
    <n v="8526333375"/>
    <n v="55053"/>
    <n v="57805.65"/>
    <n v="2752.6500000000015"/>
    <n v="-282146625"/>
  </r>
  <r>
    <s v="May"/>
    <s v="Bajaj"/>
    <s v="Pulsar NS160"/>
    <n v="160"/>
    <s v="151-350"/>
    <x v="1"/>
    <n v="125000"/>
    <n v="0.28000000000000003"/>
    <n v="0.18"/>
    <n v="160000"/>
    <n v="147500"/>
    <n v="-12500"/>
    <n v="8465760000"/>
    <n v="8194591125"/>
    <n v="52911"/>
    <n v="55556.55"/>
    <n v="2645.5500000000029"/>
    <n v="-271168875"/>
  </r>
  <r>
    <s v="Jun"/>
    <s v="Bajaj"/>
    <s v="Pulsar NS160"/>
    <n v="160"/>
    <s v="151-350"/>
    <x v="1"/>
    <n v="125000"/>
    <n v="0.28000000000000003"/>
    <n v="0.18"/>
    <n v="160000"/>
    <n v="147500"/>
    <n v="-12500"/>
    <n v="7940000000"/>
    <n v="7685671875"/>
    <n v="49625"/>
    <n v="52106.25"/>
    <n v="2481.25"/>
    <n v="-254328125"/>
  </r>
  <r>
    <s v="Jul"/>
    <s v="Bajaj"/>
    <s v="Pulsar NS160"/>
    <n v="160"/>
    <s v="151-350"/>
    <x v="1"/>
    <n v="125000"/>
    <n v="0.28000000000000003"/>
    <n v="0.18"/>
    <n v="160000"/>
    <n v="147500"/>
    <n v="-12500"/>
    <n v="8117120000"/>
    <n v="7857118500.000001"/>
    <n v="50732"/>
    <n v="53268.600000000006"/>
    <n v="2536.6000000000058"/>
    <n v="-260001499.99999905"/>
  </r>
  <r>
    <s v="Aug"/>
    <s v="Bajaj"/>
    <s v="Pulsar NS160"/>
    <n v="160"/>
    <s v="151-350"/>
    <x v="1"/>
    <n v="125000"/>
    <n v="0.28000000000000003"/>
    <n v="0.18"/>
    <n v="160000"/>
    <n v="147500"/>
    <n v="-12500"/>
    <n v="7131040000"/>
    <n v="6902623875.000001"/>
    <n v="44569"/>
    <n v="46797.450000000004"/>
    <n v="2228.4500000000044"/>
    <n v="-228416124.99999905"/>
  </r>
  <r>
    <s v="Sep"/>
    <s v="Bajaj"/>
    <s v="Pulsar NS160"/>
    <n v="160"/>
    <s v="151-350"/>
    <x v="1"/>
    <n v="125000"/>
    <n v="0.28000000000000003"/>
    <n v="0.18"/>
    <n v="160000"/>
    <n v="147500"/>
    <n v="-12500"/>
    <n v="7166240000"/>
    <n v="6936696375.000001"/>
    <n v="44789"/>
    <n v="47028.450000000004"/>
    <n v="2239.4500000000044"/>
    <n v="-229543624.99999905"/>
  </r>
  <r>
    <s v="Jan"/>
    <s v="Bajaj"/>
    <s v="Avenger Street 160"/>
    <n v="160"/>
    <s v="151-350"/>
    <x v="1"/>
    <n v="115000"/>
    <n v="0.28000000000000003"/>
    <n v="0.18"/>
    <n v="147200"/>
    <n v="135700"/>
    <n v="-11500"/>
    <n v="3348800000"/>
    <n v="3241533750"/>
    <n v="22750"/>
    <n v="23887.5"/>
    <n v="1137.5"/>
    <n v="-107266250"/>
  </r>
  <r>
    <s v="Feb"/>
    <s v="Bajaj"/>
    <s v="Avenger Street 160"/>
    <n v="160"/>
    <s v="151-350"/>
    <x v="1"/>
    <n v="115000"/>
    <n v="0.28000000000000003"/>
    <n v="0.18"/>
    <n v="147200"/>
    <n v="135700"/>
    <n v="-11500"/>
    <n v="3185113600"/>
    <n v="3083090430"/>
    <n v="21638"/>
    <n v="22719.9"/>
    <n v="1081.9000000000015"/>
    <n v="-102023170"/>
  </r>
  <r>
    <s v="Mar"/>
    <s v="Bajaj"/>
    <s v="Avenger Street 160"/>
    <n v="160"/>
    <s v="151-350"/>
    <x v="1"/>
    <n v="115000"/>
    <n v="0.28000000000000003"/>
    <n v="0.18"/>
    <n v="147200"/>
    <n v="135700"/>
    <n v="-11500"/>
    <n v="3785984000"/>
    <n v="3664714200"/>
    <n v="25720"/>
    <n v="27006"/>
    <n v="1286"/>
    <n v="-121269800"/>
  </r>
  <r>
    <s v="Apr"/>
    <s v="Bajaj"/>
    <s v="Avenger Street 160"/>
    <n v="160"/>
    <s v="151-350"/>
    <x v="1"/>
    <n v="115000"/>
    <n v="0.28000000000000003"/>
    <n v="0.18"/>
    <n v="147200"/>
    <n v="135700"/>
    <n v="-11500"/>
    <n v="2950035200"/>
    <n v="2855541885"/>
    <n v="20041"/>
    <n v="21043.05"/>
    <n v="1002.0499999999993"/>
    <n v="-94493315"/>
  </r>
  <r>
    <s v="May"/>
    <s v="Bajaj"/>
    <s v="Avenger Street 160"/>
    <n v="160"/>
    <s v="151-350"/>
    <x v="1"/>
    <n v="115000"/>
    <n v="0.28000000000000003"/>
    <n v="0.18"/>
    <n v="147200"/>
    <n v="135700"/>
    <n v="-11500"/>
    <n v="3214848000"/>
    <n v="3111872400"/>
    <n v="21840"/>
    <n v="22932"/>
    <n v="1092"/>
    <n v="-102975600"/>
  </r>
  <r>
    <s v="Jun"/>
    <s v="Bajaj"/>
    <s v="Avenger Street 160"/>
    <n v="160"/>
    <s v="151-350"/>
    <x v="1"/>
    <n v="115000"/>
    <n v="0.28000000000000003"/>
    <n v="0.18"/>
    <n v="147200"/>
    <n v="135700"/>
    <n v="-11500"/>
    <n v="2499014400"/>
    <n v="2418967845.0000005"/>
    <n v="16977"/>
    <n v="17825.850000000002"/>
    <n v="848.85000000000218"/>
    <n v="-80046554.999999523"/>
  </r>
  <r>
    <s v="Jul"/>
    <s v="Bajaj"/>
    <s v="Avenger Street 160"/>
    <n v="160"/>
    <s v="151-350"/>
    <x v="1"/>
    <n v="115000"/>
    <n v="0.28000000000000003"/>
    <n v="0.18"/>
    <n v="147200"/>
    <n v="135700"/>
    <n v="-11500"/>
    <n v="2633555200"/>
    <n v="2549199135"/>
    <n v="17891"/>
    <n v="18785.55"/>
    <n v="894.54999999999927"/>
    <n v="-84356065"/>
  </r>
  <r>
    <s v="Aug"/>
    <s v="Bajaj"/>
    <s v="Avenger Street 160"/>
    <n v="160"/>
    <s v="151-350"/>
    <x v="1"/>
    <n v="115000"/>
    <n v="0.28000000000000003"/>
    <n v="0.18"/>
    <n v="147200"/>
    <n v="135700"/>
    <n v="-11500"/>
    <n v="2527571200"/>
    <n v="2446609935"/>
    <n v="17171"/>
    <n v="18029.55"/>
    <n v="858.54999999999927"/>
    <n v="-80961265"/>
  </r>
  <r>
    <s v="Sep"/>
    <s v="Bajaj"/>
    <s v="Avenger Street 160"/>
    <n v="160"/>
    <s v="151-350"/>
    <x v="1"/>
    <n v="115000"/>
    <n v="0.28000000000000003"/>
    <n v="0.18"/>
    <n v="147200"/>
    <n v="135700"/>
    <n v="-11500"/>
    <n v="2467955200"/>
    <n v="2388903510"/>
    <n v="16766"/>
    <n v="17604.3"/>
    <n v="838.29999999999927"/>
    <n v="-79051690"/>
  </r>
  <r>
    <s v="Oct"/>
    <s v="Bajaj"/>
    <s v="Avenger Street 160"/>
    <n v="160"/>
    <s v="151-350"/>
    <x v="1"/>
    <n v="115000"/>
    <n v="0.28000000000000003"/>
    <n v="0.18"/>
    <n v="147200"/>
    <n v="135700"/>
    <n v="-11500"/>
    <n v="2218156800"/>
    <n v="2147106465"/>
    <n v="15069"/>
    <n v="15822.45"/>
    <n v="753.45000000000073"/>
    <n v="-71050335"/>
  </r>
  <r>
    <s v="Nov"/>
    <s v="Bajaj"/>
    <s v="Avenger Street 160"/>
    <n v="160"/>
    <s v="151-350"/>
    <x v="1"/>
    <n v="115000"/>
    <n v="0.28000000000000003"/>
    <n v="0.18"/>
    <n v="147200"/>
    <n v="135700"/>
    <n v="-11500"/>
    <n v="2772659200"/>
    <n v="2683847460"/>
    <n v="18836"/>
    <n v="19777.8"/>
    <n v="941.79999999999927"/>
    <n v="-88811740"/>
  </r>
  <r>
    <s v="Dec"/>
    <s v="Bajaj"/>
    <s v="Avenger Street 160"/>
    <n v="160"/>
    <s v="151-350"/>
    <x v="1"/>
    <n v="115000"/>
    <n v="0.28000000000000003"/>
    <n v="0.18"/>
    <n v="147200"/>
    <n v="135700"/>
    <n v="-11500"/>
    <n v="2886297600"/>
    <n v="2793845880"/>
    <n v="19608"/>
    <n v="20588.400000000001"/>
    <n v="980.40000000000146"/>
    <n v="-92451720"/>
  </r>
  <r>
    <s v="Jan"/>
    <s v="Bajaj"/>
    <s v="Avenger Street 160"/>
    <n v="160"/>
    <s v="151-350"/>
    <x v="1"/>
    <n v="115000"/>
    <n v="0.28000000000000003"/>
    <n v="0.18"/>
    <n v="147200"/>
    <n v="135700"/>
    <n v="-11500"/>
    <n v="3241638400"/>
    <n v="3137804670.0000005"/>
    <n v="22022"/>
    <n v="23123.100000000002"/>
    <n v="1101.1000000000022"/>
    <n v="-103833729.99999952"/>
  </r>
  <r>
    <s v="Feb"/>
    <s v="Bajaj"/>
    <s v="Avenger Street 160"/>
    <n v="160"/>
    <s v="151-350"/>
    <x v="1"/>
    <n v="115000"/>
    <n v="0.28000000000000003"/>
    <n v="0.18"/>
    <n v="147200"/>
    <n v="135700"/>
    <n v="-11500"/>
    <n v="3855756800"/>
    <n v="3732252090"/>
    <n v="26194"/>
    <n v="27503.7"/>
    <n v="1309.7000000000007"/>
    <n v="-123504710"/>
  </r>
  <r>
    <s v="Mar"/>
    <s v="Bajaj"/>
    <s v="Avenger Street 160"/>
    <n v="160"/>
    <s v="151-350"/>
    <x v="1"/>
    <n v="115000"/>
    <n v="0.28000000000000003"/>
    <n v="0.18"/>
    <n v="147200"/>
    <n v="135700"/>
    <n v="-11500"/>
    <n v="3534860800"/>
    <n v="3421634790"/>
    <n v="24014"/>
    <n v="25214.7"/>
    <n v="1200.7000000000007"/>
    <n v="-113226010"/>
  </r>
  <r>
    <s v="Apr"/>
    <s v="Bajaj"/>
    <s v="Avenger Street 160"/>
    <n v="160"/>
    <s v="151-350"/>
    <x v="1"/>
    <n v="115000"/>
    <n v="0.28000000000000003"/>
    <n v="0.18"/>
    <n v="147200"/>
    <n v="135700"/>
    <n v="-11500"/>
    <n v="3507628800"/>
    <n v="3395275065"/>
    <n v="23829"/>
    <n v="25020.45"/>
    <n v="1191.4500000000007"/>
    <n v="-112353735"/>
  </r>
  <r>
    <s v="May"/>
    <s v="Bajaj"/>
    <s v="Avenger Street 160"/>
    <n v="160"/>
    <s v="151-350"/>
    <x v="1"/>
    <n v="115000"/>
    <n v="0.28000000000000003"/>
    <n v="0.18"/>
    <n v="147200"/>
    <n v="135700"/>
    <n v="-11500"/>
    <n v="2935904000"/>
    <n v="2841863325"/>
    <n v="19945"/>
    <n v="20942.25"/>
    <n v="997.25"/>
    <n v="-94040675"/>
  </r>
  <r>
    <s v="Jun"/>
    <s v="Bajaj"/>
    <s v="Avenger Street 160"/>
    <n v="160"/>
    <s v="151-350"/>
    <x v="1"/>
    <n v="115000"/>
    <n v="0.28000000000000003"/>
    <n v="0.18"/>
    <n v="147200"/>
    <n v="135700"/>
    <n v="-11500"/>
    <n v="2363884800"/>
    <n v="2288166615"/>
    <n v="16059"/>
    <n v="16861.95"/>
    <n v="802.95000000000073"/>
    <n v="-75718185"/>
  </r>
  <r>
    <s v="Jul"/>
    <s v="Bajaj"/>
    <s v="Avenger Street 160"/>
    <n v="160"/>
    <s v="151-350"/>
    <x v="1"/>
    <n v="115000"/>
    <n v="0.28000000000000003"/>
    <n v="0.18"/>
    <n v="147200"/>
    <n v="135700"/>
    <n v="-11500"/>
    <n v="2493273600"/>
    <n v="2413410930"/>
    <n v="16938"/>
    <n v="17784.900000000001"/>
    <n v="846.90000000000146"/>
    <n v="-79862670"/>
  </r>
  <r>
    <s v="Aug"/>
    <s v="Bajaj"/>
    <s v="Avenger Street 160"/>
    <n v="160"/>
    <s v="151-350"/>
    <x v="1"/>
    <n v="115000"/>
    <n v="0.28000000000000003"/>
    <n v="0.18"/>
    <n v="147200"/>
    <n v="135700"/>
    <n v="-11500"/>
    <n v="2632819200"/>
    <n v="2548486710"/>
    <n v="17886"/>
    <n v="18780.3"/>
    <n v="894.29999999999927"/>
    <n v="-84332490"/>
  </r>
  <r>
    <s v="Sep"/>
    <s v="Bajaj"/>
    <s v="Avenger Street 160"/>
    <n v="160"/>
    <s v="151-350"/>
    <x v="1"/>
    <n v="115000"/>
    <n v="0.28000000000000003"/>
    <n v="0.18"/>
    <n v="147200"/>
    <n v="135700"/>
    <n v="-11500"/>
    <n v="2614860800"/>
    <n v="2531103540"/>
    <n v="17764"/>
    <n v="18652.2"/>
    <n v="888.20000000000073"/>
    <n v="-83757260"/>
  </r>
  <r>
    <s v="Oct"/>
    <s v="Bajaj"/>
    <s v="Avenger Street 160"/>
    <n v="160"/>
    <s v="151-350"/>
    <x v="1"/>
    <n v="115000"/>
    <n v="0.28000000000000003"/>
    <n v="0.18"/>
    <n v="147200"/>
    <n v="135700"/>
    <n v="-11500"/>
    <n v="2854944000"/>
    <n v="2763496575"/>
    <n v="19395"/>
    <n v="20364.75"/>
    <n v="969.75"/>
    <n v="-91447425"/>
  </r>
  <r>
    <s v="Nov"/>
    <s v="Bajaj"/>
    <s v="Avenger Street 160"/>
    <n v="160"/>
    <s v="151-350"/>
    <x v="1"/>
    <n v="115000"/>
    <n v="0.28000000000000003"/>
    <n v="0.18"/>
    <n v="147200"/>
    <n v="135700"/>
    <n v="-11500"/>
    <n v="2407308800"/>
    <n v="2330199690"/>
    <n v="16354"/>
    <n v="17171.7"/>
    <n v="817.70000000000073"/>
    <n v="-77109110"/>
  </r>
  <r>
    <s v="Dec"/>
    <s v="Bajaj"/>
    <s v="Avenger Street 160"/>
    <n v="160"/>
    <s v="151-350"/>
    <x v="1"/>
    <n v="115000"/>
    <n v="0.28000000000000003"/>
    <n v="0.18"/>
    <n v="147200"/>
    <n v="135700"/>
    <n v="-11500"/>
    <n v="3069414400"/>
    <n v="2971097220.0000005"/>
    <n v="20852"/>
    <n v="21894.600000000002"/>
    <n v="1042.6000000000022"/>
    <n v="-98317179.999999523"/>
  </r>
  <r>
    <s v="Jan"/>
    <s v="Bajaj"/>
    <s v="Avenger Street 160"/>
    <n v="160"/>
    <s v="151-350"/>
    <x v="1"/>
    <n v="115000"/>
    <n v="0.28000000000000003"/>
    <n v="0.18"/>
    <n v="147200"/>
    <n v="135700"/>
    <n v="-11500"/>
    <n v="3608166400"/>
    <n v="3492592320.0000005"/>
    <n v="24512"/>
    <n v="25737.600000000002"/>
    <n v="1225.6000000000022"/>
    <n v="-115574079.99999952"/>
  </r>
  <r>
    <s v="Feb"/>
    <s v="Bajaj"/>
    <s v="Avenger Street 160"/>
    <n v="160"/>
    <s v="151-350"/>
    <x v="1"/>
    <n v="115000"/>
    <n v="0.28000000000000003"/>
    <n v="0.18"/>
    <n v="147200"/>
    <n v="135700"/>
    <n v="-11500"/>
    <n v="2760000000"/>
    <n v="2671593750"/>
    <n v="18750"/>
    <n v="19687.5"/>
    <n v="937.5"/>
    <n v="-88406250"/>
  </r>
  <r>
    <s v="Mar"/>
    <s v="Bajaj"/>
    <s v="Avenger Street 160"/>
    <n v="160"/>
    <s v="151-350"/>
    <x v="1"/>
    <n v="115000"/>
    <n v="0.28000000000000003"/>
    <n v="0.18"/>
    <n v="147200"/>
    <n v="135700"/>
    <n v="-11500"/>
    <n v="2615302400"/>
    <n v="2531530995.0000005"/>
    <n v="17767"/>
    <n v="18655.350000000002"/>
    <n v="888.35000000000218"/>
    <n v="-83771404.999999523"/>
  </r>
  <r>
    <s v="Apr"/>
    <s v="Bajaj"/>
    <s v="Avenger Street 160"/>
    <n v="160"/>
    <s v="151-350"/>
    <x v="1"/>
    <n v="115000"/>
    <n v="0.28000000000000003"/>
    <n v="0.18"/>
    <n v="147200"/>
    <n v="135700"/>
    <n v="-11500"/>
    <n v="3655270400"/>
    <n v="3538187520.0000005"/>
    <n v="24832"/>
    <n v="26073.600000000002"/>
    <n v="1241.6000000000022"/>
    <n v="-117082879.99999952"/>
  </r>
  <r>
    <s v="May"/>
    <s v="Bajaj"/>
    <s v="Avenger Street 160"/>
    <n v="160"/>
    <s v="151-350"/>
    <x v="1"/>
    <n v="115000"/>
    <n v="0.28000000000000003"/>
    <n v="0.18"/>
    <n v="147200"/>
    <n v="135700"/>
    <n v="-11500"/>
    <n v="3296691200"/>
    <n v="3191094060"/>
    <n v="22396"/>
    <n v="23515.8"/>
    <n v="1119.7999999999993"/>
    <n v="-105597140"/>
  </r>
  <r>
    <s v="Jun"/>
    <s v="Bajaj"/>
    <s v="Avenger Street 160"/>
    <n v="160"/>
    <s v="151-350"/>
    <x v="1"/>
    <n v="115000"/>
    <n v="0.28000000000000003"/>
    <n v="0.18"/>
    <n v="147200"/>
    <n v="135700"/>
    <n v="-11500"/>
    <n v="2995814400"/>
    <n v="2899854720.0000005"/>
    <n v="20352"/>
    <n v="21369.600000000002"/>
    <n v="1017.6000000000022"/>
    <n v="-95959679.999999523"/>
  </r>
  <r>
    <s v="Jul"/>
    <s v="Bajaj"/>
    <s v="Avenger Street 160"/>
    <n v="160"/>
    <s v="151-350"/>
    <x v="1"/>
    <n v="115000"/>
    <n v="0.28000000000000003"/>
    <n v="0.18"/>
    <n v="147200"/>
    <n v="135700"/>
    <n v="-11500"/>
    <n v="2613977600"/>
    <n v="2530248630"/>
    <n v="17758"/>
    <n v="18645.900000000001"/>
    <n v="887.90000000000146"/>
    <n v="-83728970"/>
  </r>
  <r>
    <s v="Aug"/>
    <s v="Bajaj"/>
    <s v="Avenger Street 160"/>
    <n v="160"/>
    <s v="151-350"/>
    <x v="1"/>
    <n v="115000"/>
    <n v="0.28000000000000003"/>
    <n v="0.18"/>
    <n v="147200"/>
    <n v="135700"/>
    <n v="-11500"/>
    <n v="2448672000"/>
    <n v="2370237975"/>
    <n v="16635"/>
    <n v="17466.75"/>
    <n v="831.75"/>
    <n v="-78434025"/>
  </r>
  <r>
    <s v="Sep"/>
    <s v="Bajaj"/>
    <s v="Avenger Street 160"/>
    <n v="160"/>
    <s v="151-350"/>
    <x v="1"/>
    <n v="115000"/>
    <n v="0.28000000000000003"/>
    <n v="0.18"/>
    <n v="147200"/>
    <n v="135700"/>
    <n v="-11500"/>
    <n v="2269971200"/>
    <n v="2197261185"/>
    <n v="15421"/>
    <n v="16192.050000000001"/>
    <n v="771.05000000000109"/>
    <n v="-72710015"/>
  </r>
  <r>
    <s v="Jan"/>
    <s v="Bajaj"/>
    <s v="Pulsar NS200"/>
    <n v="199"/>
    <s v="151-350"/>
    <x v="1"/>
    <n v="140000"/>
    <n v="0.28000000000000003"/>
    <n v="0.18"/>
    <n v="179200"/>
    <n v="165200"/>
    <n v="-14000"/>
    <n v="6839168000"/>
    <n v="6620100900"/>
    <n v="38165"/>
    <n v="40073.25"/>
    <n v="1908.25"/>
    <n v="-219067100"/>
  </r>
  <r>
    <s v="Feb"/>
    <s v="Bajaj"/>
    <s v="Pulsar NS200"/>
    <n v="199"/>
    <s v="151-350"/>
    <x v="1"/>
    <n v="140000"/>
    <n v="0.28000000000000003"/>
    <n v="0.18"/>
    <n v="179200"/>
    <n v="165200"/>
    <n v="-14000"/>
    <n v="5263820800"/>
    <n v="5095214040"/>
    <n v="29374"/>
    <n v="30842.7"/>
    <n v="1468.7000000000007"/>
    <n v="-168606760"/>
  </r>
  <r>
    <s v="Mar"/>
    <s v="Bajaj"/>
    <s v="Pulsar NS200"/>
    <n v="199"/>
    <s v="151-350"/>
    <x v="1"/>
    <n v="140000"/>
    <n v="0.28000000000000003"/>
    <n v="0.18"/>
    <n v="179200"/>
    <n v="165200"/>
    <n v="-14000"/>
    <n v="7236812800"/>
    <n v="7005008640.000001"/>
    <n v="40384"/>
    <n v="42403.200000000004"/>
    <n v="2019.2000000000044"/>
    <n v="-231804159.99999905"/>
  </r>
  <r>
    <s v="Apr"/>
    <s v="Bajaj"/>
    <s v="Pulsar NS200"/>
    <n v="199"/>
    <s v="151-350"/>
    <x v="1"/>
    <n v="140000"/>
    <n v="0.28000000000000003"/>
    <n v="0.18"/>
    <n v="179200"/>
    <n v="165200"/>
    <n v="-14000"/>
    <n v="7632307200"/>
    <n v="7387834860.000001"/>
    <n v="42591"/>
    <n v="44720.55"/>
    <n v="2129.5500000000029"/>
    <n v="-244472339.99999905"/>
  </r>
  <r>
    <s v="May"/>
    <s v="Bajaj"/>
    <s v="Pulsar NS200"/>
    <n v="199"/>
    <s v="151-350"/>
    <x v="1"/>
    <n v="140000"/>
    <n v="0.28000000000000003"/>
    <n v="0.18"/>
    <n v="179200"/>
    <n v="165200"/>
    <n v="-14000"/>
    <n v="6955648000"/>
    <n v="6732849900"/>
    <n v="38815"/>
    <n v="40755.75"/>
    <n v="1940.75"/>
    <n v="-222798100"/>
  </r>
  <r>
    <s v="Jun"/>
    <s v="Bajaj"/>
    <s v="Pulsar NS200"/>
    <n v="199"/>
    <s v="151-350"/>
    <x v="1"/>
    <n v="140000"/>
    <n v="0.28000000000000003"/>
    <n v="0.18"/>
    <n v="179200"/>
    <n v="165200"/>
    <n v="-14000"/>
    <n v="7198822400"/>
    <n v="6968235120"/>
    <n v="40172"/>
    <n v="42180.6"/>
    <n v="2008.5999999999985"/>
    <n v="-230587280"/>
  </r>
  <r>
    <s v="Jul"/>
    <s v="Bajaj"/>
    <s v="Pulsar NS200"/>
    <n v="199"/>
    <s v="151-350"/>
    <x v="1"/>
    <n v="140000"/>
    <n v="0.28000000000000003"/>
    <n v="0.18"/>
    <n v="179200"/>
    <n v="165200"/>
    <n v="-14000"/>
    <n v="6411596800"/>
    <n v="6206225340.000001"/>
    <n v="35779"/>
    <n v="37567.950000000004"/>
    <n v="1788.9500000000044"/>
    <n v="-205371459.99999905"/>
  </r>
  <r>
    <s v="Aug"/>
    <s v="Bajaj"/>
    <s v="Pulsar NS200"/>
    <n v="199"/>
    <s v="151-350"/>
    <x v="1"/>
    <n v="140000"/>
    <n v="0.28000000000000003"/>
    <n v="0.18"/>
    <n v="179200"/>
    <n v="165200"/>
    <n v="-14000"/>
    <n v="5034086400"/>
    <n v="4872838320"/>
    <n v="28092"/>
    <n v="29496.600000000002"/>
    <n v="1404.6000000000022"/>
    <n v="-161248080"/>
  </r>
  <r>
    <s v="Sep"/>
    <s v="Bajaj"/>
    <s v="Pulsar NS200"/>
    <n v="199"/>
    <s v="151-350"/>
    <x v="1"/>
    <n v="140000"/>
    <n v="0.28000000000000003"/>
    <n v="0.18"/>
    <n v="179200"/>
    <n v="165200"/>
    <n v="-14000"/>
    <n v="5287296000"/>
    <n v="5117937300"/>
    <n v="29505"/>
    <n v="30980.25"/>
    <n v="1475.25"/>
    <n v="-169358700"/>
  </r>
  <r>
    <s v="Oct"/>
    <s v="Bajaj"/>
    <s v="Pulsar NS200"/>
    <n v="199"/>
    <s v="151-350"/>
    <x v="1"/>
    <n v="140000"/>
    <n v="0.28000000000000003"/>
    <n v="0.18"/>
    <n v="179200"/>
    <n v="165200"/>
    <n v="-14000"/>
    <n v="5984025600"/>
    <n v="5792349780"/>
    <n v="33393"/>
    <n v="35062.65"/>
    <n v="1669.6500000000015"/>
    <n v="-191675820"/>
  </r>
  <r>
    <s v="Nov"/>
    <s v="Bajaj"/>
    <s v="Pulsar NS200"/>
    <n v="199"/>
    <s v="151-350"/>
    <x v="1"/>
    <n v="140000"/>
    <n v="0.28000000000000003"/>
    <n v="0.18"/>
    <n v="179200"/>
    <n v="165200"/>
    <n v="-14000"/>
    <n v="6074700800"/>
    <n v="5880120540.000001"/>
    <n v="33899"/>
    <n v="35593.950000000004"/>
    <n v="1694.9500000000044"/>
    <n v="-194580259.99999905"/>
  </r>
  <r>
    <s v="Dec"/>
    <s v="Bajaj"/>
    <s v="Pulsar NS200"/>
    <n v="199"/>
    <s v="151-350"/>
    <x v="1"/>
    <n v="140000"/>
    <n v="0.28000000000000003"/>
    <n v="0.18"/>
    <n v="179200"/>
    <n v="165200"/>
    <n v="-14000"/>
    <n v="5689241600"/>
    <n v="5507008080"/>
    <n v="31748"/>
    <n v="33335.4"/>
    <n v="1587.4000000000015"/>
    <n v="-182233520"/>
  </r>
  <r>
    <s v="Jan"/>
    <s v="Bajaj"/>
    <s v="Pulsar NS200"/>
    <n v="199"/>
    <s v="151-350"/>
    <x v="1"/>
    <n v="140000"/>
    <n v="0.28000000000000003"/>
    <n v="0.18"/>
    <n v="179200"/>
    <n v="165200"/>
    <n v="-14000"/>
    <n v="6646707200"/>
    <n v="6433804860.000001"/>
    <n v="37091"/>
    <n v="38945.550000000003"/>
    <n v="1854.5500000000029"/>
    <n v="-212902339.99999905"/>
  </r>
  <r>
    <s v="Feb"/>
    <s v="Bajaj"/>
    <s v="Pulsar NS200"/>
    <n v="199"/>
    <s v="151-350"/>
    <x v="1"/>
    <n v="140000"/>
    <n v="0.28000000000000003"/>
    <n v="0.18"/>
    <n v="179200"/>
    <n v="165200"/>
    <n v="-14000"/>
    <n v="6049971200"/>
    <n v="5856183060.000001"/>
    <n v="33761"/>
    <n v="35449.050000000003"/>
    <n v="1688.0500000000029"/>
    <n v="-193788139.99999905"/>
  </r>
  <r>
    <s v="Mar"/>
    <s v="Bajaj"/>
    <s v="Pulsar NS200"/>
    <n v="199"/>
    <s v="151-350"/>
    <x v="1"/>
    <n v="140000"/>
    <n v="0.28000000000000003"/>
    <n v="0.18"/>
    <n v="179200"/>
    <n v="165200"/>
    <n v="-14000"/>
    <n v="6856908800"/>
    <n v="6637273440.000001"/>
    <n v="38264"/>
    <n v="40177.200000000004"/>
    <n v="1913.2000000000044"/>
    <n v="-219635359.99999905"/>
  </r>
  <r>
    <s v="Apr"/>
    <s v="Bajaj"/>
    <s v="Pulsar NS200"/>
    <n v="199"/>
    <s v="151-350"/>
    <x v="1"/>
    <n v="140000"/>
    <n v="0.28000000000000003"/>
    <n v="0.18"/>
    <n v="179200"/>
    <n v="165200"/>
    <n v="-14000"/>
    <n v="6376294400"/>
    <n v="6172053720"/>
    <n v="35582"/>
    <n v="37361.1"/>
    <n v="1779.0999999999985"/>
    <n v="-204240680"/>
  </r>
  <r>
    <s v="May"/>
    <s v="Bajaj"/>
    <s v="Pulsar NS200"/>
    <n v="199"/>
    <s v="151-350"/>
    <x v="1"/>
    <n v="140000"/>
    <n v="0.28000000000000003"/>
    <n v="0.18"/>
    <n v="179200"/>
    <n v="165200"/>
    <n v="-14000"/>
    <n v="6418406400"/>
    <n v="6212816820"/>
    <n v="35817"/>
    <n v="37607.85"/>
    <n v="1790.8499999999985"/>
    <n v="-205589580"/>
  </r>
  <r>
    <s v="Jun"/>
    <s v="Bajaj"/>
    <s v="Pulsar NS200"/>
    <n v="199"/>
    <s v="151-350"/>
    <x v="1"/>
    <n v="140000"/>
    <n v="0.28000000000000003"/>
    <n v="0.18"/>
    <n v="179200"/>
    <n v="165200"/>
    <n v="-14000"/>
    <n v="6588288000"/>
    <n v="6377256900"/>
    <n v="36765"/>
    <n v="38603.25"/>
    <n v="1838.25"/>
    <n v="-211031100"/>
  </r>
  <r>
    <s v="Jul"/>
    <s v="Bajaj"/>
    <s v="Pulsar NS200"/>
    <n v="199"/>
    <s v="151-350"/>
    <x v="1"/>
    <n v="140000"/>
    <n v="0.28000000000000003"/>
    <n v="0.18"/>
    <n v="179200"/>
    <n v="165200"/>
    <n v="-14000"/>
    <n v="5552153600"/>
    <n v="5374311180"/>
    <n v="30983"/>
    <n v="32532.15"/>
    <n v="1549.1500000000015"/>
    <n v="-177842420"/>
  </r>
  <r>
    <s v="Aug"/>
    <s v="Bajaj"/>
    <s v="Pulsar NS200"/>
    <n v="199"/>
    <s v="151-350"/>
    <x v="1"/>
    <n v="140000"/>
    <n v="0.28000000000000003"/>
    <n v="0.18"/>
    <n v="179200"/>
    <n v="165200"/>
    <n v="-14000"/>
    <n v="6023628800"/>
    <n v="5830684440.000001"/>
    <n v="33614"/>
    <n v="35294.700000000004"/>
    <n v="1680.7000000000044"/>
    <n v="-192944359.99999905"/>
  </r>
  <r>
    <s v="Sep"/>
    <s v="Bajaj"/>
    <s v="Pulsar NS200"/>
    <n v="199"/>
    <s v="151-350"/>
    <x v="1"/>
    <n v="140000"/>
    <n v="0.28000000000000003"/>
    <n v="0.18"/>
    <n v="179200"/>
    <n v="165200"/>
    <n v="-14000"/>
    <n v="5449113600"/>
    <n v="5274571680"/>
    <n v="30408"/>
    <n v="31928.400000000001"/>
    <n v="1520.4000000000015"/>
    <n v="-174541920"/>
  </r>
  <r>
    <s v="Oct"/>
    <s v="Bajaj"/>
    <s v="Pulsar NS200"/>
    <n v="199"/>
    <s v="151-350"/>
    <x v="1"/>
    <n v="140000"/>
    <n v="0.28000000000000003"/>
    <n v="0.18"/>
    <n v="179200"/>
    <n v="165200"/>
    <n v="-14000"/>
    <n v="4862592000"/>
    <n v="4706837100"/>
    <n v="27135"/>
    <n v="28491.75"/>
    <n v="1356.75"/>
    <n v="-155754900"/>
  </r>
  <r>
    <s v="Nov"/>
    <s v="Bajaj"/>
    <s v="Pulsar NS200"/>
    <n v="199"/>
    <s v="151-350"/>
    <x v="1"/>
    <n v="140000"/>
    <n v="0.28000000000000003"/>
    <n v="0.18"/>
    <n v="179200"/>
    <n v="165200"/>
    <n v="-14000"/>
    <n v="5961804800"/>
    <n v="5770840740.000001"/>
    <n v="33269"/>
    <n v="34932.450000000004"/>
    <n v="1663.4500000000044"/>
    <n v="-190964059.99999905"/>
  </r>
  <r>
    <s v="Dec"/>
    <s v="Bajaj"/>
    <s v="Pulsar NS200"/>
    <n v="199"/>
    <s v="151-350"/>
    <x v="1"/>
    <n v="140000"/>
    <n v="0.28000000000000003"/>
    <n v="0.18"/>
    <n v="179200"/>
    <n v="165200"/>
    <n v="-14000"/>
    <n v="6318233600"/>
    <n v="6115852680"/>
    <n v="35258"/>
    <n v="37020.9"/>
    <n v="1762.9000000000015"/>
    <n v="-202380920"/>
  </r>
  <r>
    <s v="Jan"/>
    <s v="Bajaj"/>
    <s v="Pulsar NS200"/>
    <n v="199"/>
    <s v="151-350"/>
    <x v="1"/>
    <n v="140000"/>
    <n v="0.28000000000000003"/>
    <n v="0.18"/>
    <n v="179200"/>
    <n v="165200"/>
    <n v="-14000"/>
    <n v="7372288000"/>
    <n v="7136144400"/>
    <n v="41140"/>
    <n v="43197"/>
    <n v="2057"/>
    <n v="-236143600"/>
  </r>
  <r>
    <s v="Feb"/>
    <s v="Bajaj"/>
    <s v="Pulsar NS200"/>
    <n v="199"/>
    <s v="151-350"/>
    <x v="1"/>
    <n v="140000"/>
    <n v="0.28000000000000003"/>
    <n v="0.18"/>
    <n v="179200"/>
    <n v="165200"/>
    <n v="-14000"/>
    <n v="6633267200"/>
    <n v="6420795360.000001"/>
    <n v="37016"/>
    <n v="38866.800000000003"/>
    <n v="1850.8000000000029"/>
    <n v="-212471839.99999905"/>
  </r>
  <r>
    <s v="Mar"/>
    <s v="Bajaj"/>
    <s v="Pulsar NS200"/>
    <n v="199"/>
    <s v="151-350"/>
    <x v="1"/>
    <n v="140000"/>
    <n v="0.28000000000000003"/>
    <n v="0.18"/>
    <n v="179200"/>
    <n v="165200"/>
    <n v="-14000"/>
    <n v="7606144000"/>
    <n v="7362509700"/>
    <n v="42445"/>
    <n v="44567.25"/>
    <n v="2122.25"/>
    <n v="-243634300"/>
  </r>
  <r>
    <s v="Apr"/>
    <s v="Bajaj"/>
    <s v="Pulsar NS200"/>
    <n v="199"/>
    <s v="151-350"/>
    <x v="1"/>
    <n v="140000"/>
    <n v="0.28000000000000003"/>
    <n v="0.18"/>
    <n v="179200"/>
    <n v="165200"/>
    <n v="-14000"/>
    <n v="6877516800"/>
    <n v="6657221340.000001"/>
    <n v="38379"/>
    <n v="40297.950000000004"/>
    <n v="1918.9500000000044"/>
    <n v="-220295459.99999905"/>
  </r>
  <r>
    <s v="May"/>
    <s v="Bajaj"/>
    <s v="Pulsar NS200"/>
    <n v="199"/>
    <s v="151-350"/>
    <x v="1"/>
    <n v="140000"/>
    <n v="0.28000000000000003"/>
    <n v="0.18"/>
    <n v="179200"/>
    <n v="165200"/>
    <n v="-14000"/>
    <n v="9032038400"/>
    <n v="8742730920.0000019"/>
    <n v="50402"/>
    <n v="52922.100000000006"/>
    <n v="2520.1000000000058"/>
    <n v="-289307479.99999809"/>
  </r>
  <r>
    <s v="Jun"/>
    <s v="Bajaj"/>
    <s v="Pulsar NS200"/>
    <n v="199"/>
    <s v="151-350"/>
    <x v="1"/>
    <n v="140000"/>
    <n v="0.28000000000000003"/>
    <n v="0.18"/>
    <n v="179200"/>
    <n v="165200"/>
    <n v="-14000"/>
    <n v="6244403200"/>
    <n v="6044387160.000001"/>
    <n v="34846"/>
    <n v="36588.300000000003"/>
    <n v="1742.3000000000029"/>
    <n v="-200016039.99999905"/>
  </r>
  <r>
    <s v="Jul"/>
    <s v="Bajaj"/>
    <s v="Pulsar NS200"/>
    <n v="199"/>
    <s v="151-350"/>
    <x v="1"/>
    <n v="140000"/>
    <n v="0.28000000000000003"/>
    <n v="0.18"/>
    <n v="179200"/>
    <n v="165200"/>
    <n v="-14000"/>
    <n v="5501260800"/>
    <n v="5325048540"/>
    <n v="30699"/>
    <n v="32233.95"/>
    <n v="1534.9500000000007"/>
    <n v="-176212260"/>
  </r>
  <r>
    <s v="Aug"/>
    <s v="Bajaj"/>
    <s v="Pulsar NS200"/>
    <n v="199"/>
    <s v="151-350"/>
    <x v="1"/>
    <n v="140000"/>
    <n v="0.28000000000000003"/>
    <n v="0.18"/>
    <n v="179200"/>
    <n v="165200"/>
    <n v="-14000"/>
    <n v="6766950400"/>
    <n v="6550196520"/>
    <n v="37762"/>
    <n v="39650.1"/>
    <n v="1888.0999999999985"/>
    <n v="-216753880"/>
  </r>
  <r>
    <s v="Sep"/>
    <s v="Bajaj"/>
    <s v="Pulsar NS200"/>
    <n v="199"/>
    <s v="151-350"/>
    <x v="1"/>
    <n v="140000"/>
    <n v="0.28000000000000003"/>
    <n v="0.18"/>
    <n v="179200"/>
    <n v="165200"/>
    <n v="-14000"/>
    <n v="4754176000"/>
    <n v="4601893800"/>
    <n v="26530"/>
    <n v="27856.5"/>
    <n v="1326.5"/>
    <n v="-152282200"/>
  </r>
  <r>
    <s v="Jan"/>
    <s v="Bajaj"/>
    <s v="Pulsar RS200"/>
    <n v="199"/>
    <s v="151-350"/>
    <x v="1"/>
    <n v="165000"/>
    <n v="0.28000000000000003"/>
    <n v="0.18"/>
    <n v="211200"/>
    <n v="194700"/>
    <n v="-16500"/>
    <n v="4325164800"/>
    <n v="4186624365"/>
    <n v="20479"/>
    <n v="21502.95"/>
    <n v="1023.9500000000007"/>
    <n v="-138540435"/>
  </r>
  <r>
    <s v="Feb"/>
    <s v="Bajaj"/>
    <s v="Pulsar RS200"/>
    <n v="199"/>
    <s v="151-350"/>
    <x v="1"/>
    <n v="165000"/>
    <n v="0.28000000000000003"/>
    <n v="0.18"/>
    <n v="211200"/>
    <n v="194700"/>
    <n v="-16500"/>
    <n v="4660339200"/>
    <n v="4511062710"/>
    <n v="22066"/>
    <n v="23169.3"/>
    <n v="1103.2999999999993"/>
    <n v="-149276490"/>
  </r>
  <r>
    <s v="Mar"/>
    <s v="Bajaj"/>
    <s v="Pulsar RS200"/>
    <n v="199"/>
    <s v="151-350"/>
    <x v="1"/>
    <n v="165000"/>
    <n v="0.28000000000000003"/>
    <n v="0.18"/>
    <n v="211200"/>
    <n v="194700"/>
    <n v="-16500"/>
    <n v="4688428800"/>
    <n v="4538252565"/>
    <n v="22199"/>
    <n v="23308.95"/>
    <n v="1109.9500000000007"/>
    <n v="-150176235"/>
  </r>
  <r>
    <s v="Apr"/>
    <s v="Bajaj"/>
    <s v="Pulsar RS200"/>
    <n v="199"/>
    <s v="151-350"/>
    <x v="1"/>
    <n v="165000"/>
    <n v="0.28000000000000003"/>
    <n v="0.18"/>
    <n v="211200"/>
    <n v="194700"/>
    <n v="-16500"/>
    <n v="4665830400"/>
    <n v="4516378020"/>
    <n v="22092"/>
    <n v="23196.600000000002"/>
    <n v="1104.6000000000022"/>
    <n v="-149452380"/>
  </r>
  <r>
    <s v="May"/>
    <s v="Bajaj"/>
    <s v="Pulsar RS200"/>
    <n v="199"/>
    <s v="151-350"/>
    <x v="1"/>
    <n v="165000"/>
    <n v="0.28000000000000003"/>
    <n v="0.18"/>
    <n v="211200"/>
    <n v="194700"/>
    <n v="-16500"/>
    <n v="5383065600"/>
    <n v="5210639280"/>
    <n v="25488"/>
    <n v="26762.400000000001"/>
    <n v="1274.4000000000015"/>
    <n v="-172426320"/>
  </r>
  <r>
    <s v="Jun"/>
    <s v="Bajaj"/>
    <s v="Pulsar RS200"/>
    <n v="199"/>
    <s v="151-350"/>
    <x v="1"/>
    <n v="165000"/>
    <n v="0.28000000000000003"/>
    <n v="0.18"/>
    <n v="211200"/>
    <n v="194700"/>
    <n v="-16500"/>
    <n v="3937190400"/>
    <n v="3811077270.0000005"/>
    <n v="18642"/>
    <n v="19574.100000000002"/>
    <n v="932.10000000000218"/>
    <n v="-126113129.99999952"/>
  </r>
  <r>
    <s v="Jul"/>
    <s v="Bajaj"/>
    <s v="Pulsar RS200"/>
    <n v="199"/>
    <s v="151-350"/>
    <x v="1"/>
    <n v="165000"/>
    <n v="0.28000000000000003"/>
    <n v="0.18"/>
    <n v="211200"/>
    <n v="194700"/>
    <n v="-16500"/>
    <n v="3450374400"/>
    <n v="3339854595.0000005"/>
    <n v="16337"/>
    <n v="17153.850000000002"/>
    <n v="816.85000000000218"/>
    <n v="-110519804.99999952"/>
  </r>
  <r>
    <s v="Aug"/>
    <s v="Bajaj"/>
    <s v="Pulsar RS200"/>
    <n v="199"/>
    <s v="151-350"/>
    <x v="1"/>
    <n v="165000"/>
    <n v="0.28000000000000003"/>
    <n v="0.18"/>
    <n v="211200"/>
    <n v="194700"/>
    <n v="-16500"/>
    <n v="3644889600"/>
    <n v="3528139230.0000005"/>
    <n v="17258"/>
    <n v="18120.900000000001"/>
    <n v="862.90000000000146"/>
    <n v="-116750369.99999952"/>
  </r>
  <r>
    <s v="Sep"/>
    <s v="Bajaj"/>
    <s v="Pulsar RS200"/>
    <n v="199"/>
    <s v="151-350"/>
    <x v="1"/>
    <n v="165000"/>
    <n v="0.28000000000000003"/>
    <n v="0.18"/>
    <n v="211200"/>
    <n v="194700"/>
    <n v="-16500"/>
    <n v="3108230400"/>
    <n v="3008669895"/>
    <n v="14717"/>
    <n v="15452.85"/>
    <n v="735.85000000000036"/>
    <n v="-99560505"/>
  </r>
  <r>
    <s v="Oct"/>
    <s v="Bajaj"/>
    <s v="Pulsar RS200"/>
    <n v="199"/>
    <s v="151-350"/>
    <x v="1"/>
    <n v="165000"/>
    <n v="0.28000000000000003"/>
    <n v="0.18"/>
    <n v="211200"/>
    <n v="194700"/>
    <n v="-16500"/>
    <n v="3592934400"/>
    <n v="3477848220.0000005"/>
    <n v="17012"/>
    <n v="17862.600000000002"/>
    <n v="850.60000000000218"/>
    <n v="-115086179.99999952"/>
  </r>
  <r>
    <s v="Nov"/>
    <s v="Bajaj"/>
    <s v="Pulsar RS200"/>
    <n v="199"/>
    <s v="151-350"/>
    <x v="1"/>
    <n v="165000"/>
    <n v="0.28000000000000003"/>
    <n v="0.18"/>
    <n v="211200"/>
    <n v="194700"/>
    <n v="-16500"/>
    <n v="3306336000"/>
    <n v="3200429925"/>
    <n v="15655"/>
    <n v="16437.75"/>
    <n v="782.75"/>
    <n v="-105906075"/>
  </r>
  <r>
    <s v="Dec"/>
    <s v="Bajaj"/>
    <s v="Pulsar RS200"/>
    <n v="199"/>
    <s v="151-350"/>
    <x v="1"/>
    <n v="165000"/>
    <n v="0.28000000000000003"/>
    <n v="0.18"/>
    <n v="211200"/>
    <n v="194700"/>
    <n v="-16500"/>
    <n v="4475961600"/>
    <n v="4332590955"/>
    <n v="21193"/>
    <n v="22252.65"/>
    <n v="1059.6500000000015"/>
    <n v="-143370645"/>
  </r>
  <r>
    <s v="Jan"/>
    <s v="Bajaj"/>
    <s v="Pulsar RS200"/>
    <n v="199"/>
    <s v="151-350"/>
    <x v="1"/>
    <n v="165000"/>
    <n v="0.28000000000000003"/>
    <n v="0.18"/>
    <n v="211200"/>
    <n v="194700"/>
    <n v="-16500"/>
    <n v="4897305600"/>
    <n v="4740438780"/>
    <n v="23188"/>
    <n v="24347.4"/>
    <n v="1159.4000000000015"/>
    <n v="-156866820"/>
  </r>
  <r>
    <s v="Feb"/>
    <s v="Bajaj"/>
    <s v="Pulsar RS200"/>
    <n v="199"/>
    <s v="151-350"/>
    <x v="1"/>
    <n v="165000"/>
    <n v="0.28000000000000003"/>
    <n v="0.18"/>
    <n v="211200"/>
    <n v="194700"/>
    <n v="-16500"/>
    <n v="5696908800"/>
    <n v="5514429690"/>
    <n v="26974"/>
    <n v="28322.7"/>
    <n v="1348.7000000000007"/>
    <n v="-182479110"/>
  </r>
  <r>
    <s v="Mar"/>
    <s v="Bajaj"/>
    <s v="Pulsar RS200"/>
    <n v="199"/>
    <s v="151-350"/>
    <x v="1"/>
    <n v="165000"/>
    <n v="0.28000000000000003"/>
    <n v="0.18"/>
    <n v="211200"/>
    <n v="194700"/>
    <n v="-16500"/>
    <n v="5074502400"/>
    <n v="4911959745"/>
    <n v="24027"/>
    <n v="25228.350000000002"/>
    <n v="1201.3500000000022"/>
    <n v="-162542655"/>
  </r>
  <r>
    <s v="Apr"/>
    <s v="Bajaj"/>
    <s v="Pulsar RS200"/>
    <n v="199"/>
    <s v="151-350"/>
    <x v="1"/>
    <n v="165000"/>
    <n v="0.28000000000000003"/>
    <n v="0.18"/>
    <n v="211200"/>
    <n v="194700"/>
    <n v="-16500"/>
    <n v="5382432000"/>
    <n v="5210025975"/>
    <n v="25485"/>
    <n v="26759.25"/>
    <n v="1274.25"/>
    <n v="-172406025"/>
  </r>
  <r>
    <s v="May"/>
    <s v="Bajaj"/>
    <s v="Pulsar RS200"/>
    <n v="199"/>
    <s v="151-350"/>
    <x v="1"/>
    <n v="165000"/>
    <n v="0.28000000000000003"/>
    <n v="0.18"/>
    <n v="211200"/>
    <n v="194700"/>
    <n v="-16500"/>
    <n v="4157472000"/>
    <n v="4024302975"/>
    <n v="19685"/>
    <n v="20669.25"/>
    <n v="984.25"/>
    <n v="-133169025"/>
  </r>
  <r>
    <s v="Jun"/>
    <s v="Bajaj"/>
    <s v="Pulsar RS200"/>
    <n v="199"/>
    <s v="151-350"/>
    <x v="1"/>
    <n v="165000"/>
    <n v="0.28000000000000003"/>
    <n v="0.18"/>
    <n v="211200"/>
    <n v="194700"/>
    <n v="-16500"/>
    <n v="4867737600"/>
    <n v="4711817880"/>
    <n v="23048"/>
    <n v="24200.400000000001"/>
    <n v="1152.4000000000015"/>
    <n v="-155919720"/>
  </r>
  <r>
    <s v="Jul"/>
    <s v="Bajaj"/>
    <s v="Pulsar RS200"/>
    <n v="199"/>
    <s v="151-350"/>
    <x v="1"/>
    <n v="165000"/>
    <n v="0.28000000000000003"/>
    <n v="0.18"/>
    <n v="211200"/>
    <n v="194700"/>
    <n v="-16500"/>
    <n v="4060531200"/>
    <n v="3930467310"/>
    <n v="19226"/>
    <n v="20187.3"/>
    <n v="961.29999999999927"/>
    <n v="-130063890"/>
  </r>
  <r>
    <s v="Aug"/>
    <s v="Bajaj"/>
    <s v="Pulsar RS200"/>
    <n v="199"/>
    <s v="151-350"/>
    <x v="1"/>
    <n v="165000"/>
    <n v="0.28000000000000003"/>
    <n v="0.18"/>
    <n v="211200"/>
    <n v="194700"/>
    <n v="-16500"/>
    <n v="3522182400"/>
    <n v="3409362495.0000005"/>
    <n v="16677"/>
    <n v="17510.850000000002"/>
    <n v="833.85000000000218"/>
    <n v="-112819904.99999952"/>
  </r>
  <r>
    <s v="Sep"/>
    <s v="Bajaj"/>
    <s v="Pulsar RS200"/>
    <n v="199"/>
    <s v="151-350"/>
    <x v="1"/>
    <n v="165000"/>
    <n v="0.28000000000000003"/>
    <n v="0.18"/>
    <n v="211200"/>
    <n v="194700"/>
    <n v="-16500"/>
    <n v="3345408000"/>
    <n v="3238250400"/>
    <n v="15840"/>
    <n v="16632"/>
    <n v="792"/>
    <n v="-107157600"/>
  </r>
  <r>
    <s v="Oct"/>
    <s v="Bajaj"/>
    <s v="Pulsar RS200"/>
    <n v="199"/>
    <s v="151-350"/>
    <x v="1"/>
    <n v="165000"/>
    <n v="0.28000000000000003"/>
    <n v="0.18"/>
    <n v="211200"/>
    <n v="194700"/>
    <n v="-16500"/>
    <n v="3390604800"/>
    <n v="3281999490"/>
    <n v="16054"/>
    <n v="16856.7"/>
    <n v="802.70000000000073"/>
    <n v="-108605310"/>
  </r>
  <r>
    <s v="Nov"/>
    <s v="Bajaj"/>
    <s v="Pulsar RS200"/>
    <n v="199"/>
    <s v="151-350"/>
    <x v="1"/>
    <n v="165000"/>
    <n v="0.28000000000000003"/>
    <n v="0.18"/>
    <n v="211200"/>
    <n v="194700"/>
    <n v="-16500"/>
    <n v="3879321600"/>
    <n v="3755062080.0000005"/>
    <n v="18368"/>
    <n v="19286.400000000001"/>
    <n v="918.40000000000146"/>
    <n v="-124259519.99999952"/>
  </r>
  <r>
    <s v="Dec"/>
    <s v="Bajaj"/>
    <s v="Pulsar RS200"/>
    <n v="199"/>
    <s v="151-350"/>
    <x v="1"/>
    <n v="165000"/>
    <n v="0.28000000000000003"/>
    <n v="0.18"/>
    <n v="211200"/>
    <n v="194700"/>
    <n v="-16500"/>
    <n v="4528550400"/>
    <n v="4383495270"/>
    <n v="21442"/>
    <n v="22514.100000000002"/>
    <n v="1072.1000000000022"/>
    <n v="-145055130"/>
  </r>
  <r>
    <s v="Jan"/>
    <s v="Bajaj"/>
    <s v="Pulsar RS200"/>
    <n v="199"/>
    <s v="151-350"/>
    <x v="1"/>
    <n v="165000"/>
    <n v="0.28000000000000003"/>
    <n v="0.18"/>
    <n v="211200"/>
    <n v="194700"/>
    <n v="-16500"/>
    <n v="4501728000"/>
    <n v="4357532025"/>
    <n v="21315"/>
    <n v="22380.75"/>
    <n v="1065.75"/>
    <n v="-144195975"/>
  </r>
  <r>
    <s v="Feb"/>
    <s v="Bajaj"/>
    <s v="Pulsar RS200"/>
    <n v="199"/>
    <s v="151-350"/>
    <x v="1"/>
    <n v="165000"/>
    <n v="0.28000000000000003"/>
    <n v="0.18"/>
    <n v="211200"/>
    <n v="194700"/>
    <n v="-16500"/>
    <n v="5767238400"/>
    <n v="5582506545"/>
    <n v="27307"/>
    <n v="28672.350000000002"/>
    <n v="1365.3500000000022"/>
    <n v="-184731855"/>
  </r>
  <r>
    <s v="Mar"/>
    <s v="Bajaj"/>
    <s v="Pulsar RS200"/>
    <n v="199"/>
    <s v="151-350"/>
    <x v="1"/>
    <n v="165000"/>
    <n v="0.28000000000000003"/>
    <n v="0.18"/>
    <n v="211200"/>
    <n v="194700"/>
    <n v="-16500"/>
    <n v="4199289600"/>
    <n v="4064781105.0000005"/>
    <n v="19883"/>
    <n v="20877.150000000001"/>
    <n v="994.15000000000146"/>
    <n v="-134508494.99999952"/>
  </r>
  <r>
    <s v="Apr"/>
    <s v="Bajaj"/>
    <s v="Pulsar RS200"/>
    <n v="199"/>
    <s v="151-350"/>
    <x v="1"/>
    <n v="165000"/>
    <n v="0.28000000000000003"/>
    <n v="0.18"/>
    <n v="211200"/>
    <n v="194700"/>
    <n v="-16500"/>
    <n v="4296019200"/>
    <n v="4158412335"/>
    <n v="20341"/>
    <n v="21358.05"/>
    <n v="1017.0499999999993"/>
    <n v="-137606865"/>
  </r>
  <r>
    <s v="May"/>
    <s v="Bajaj"/>
    <s v="Pulsar RS200"/>
    <n v="199"/>
    <s v="151-350"/>
    <x v="1"/>
    <n v="165000"/>
    <n v="0.28000000000000003"/>
    <n v="0.18"/>
    <n v="211200"/>
    <n v="194700"/>
    <n v="-16500"/>
    <n v="3987244800"/>
    <n v="3859528365"/>
    <n v="18879"/>
    <n v="19822.95"/>
    <n v="943.95000000000073"/>
    <n v="-127716435"/>
  </r>
  <r>
    <s v="Jun"/>
    <s v="Bajaj"/>
    <s v="Pulsar RS200"/>
    <n v="199"/>
    <s v="151-350"/>
    <x v="1"/>
    <n v="165000"/>
    <n v="0.28000000000000003"/>
    <n v="0.18"/>
    <n v="211200"/>
    <n v="194700"/>
    <n v="-16500"/>
    <n v="4405843200"/>
    <n v="4264718535"/>
    <n v="20861"/>
    <n v="21904.05"/>
    <n v="1043.0499999999993"/>
    <n v="-141124665"/>
  </r>
  <r>
    <s v="Jul"/>
    <s v="Bajaj"/>
    <s v="Pulsar RS200"/>
    <n v="199"/>
    <s v="151-350"/>
    <x v="1"/>
    <n v="165000"/>
    <n v="0.28000000000000003"/>
    <n v="0.18"/>
    <n v="211200"/>
    <n v="194700"/>
    <n v="-16500"/>
    <n v="3235584000"/>
    <n v="3131944200"/>
    <n v="15320"/>
    <n v="16086"/>
    <n v="766"/>
    <n v="-103639800"/>
  </r>
  <r>
    <s v="Aug"/>
    <s v="Bajaj"/>
    <s v="Pulsar RS200"/>
    <n v="199"/>
    <s v="151-350"/>
    <x v="1"/>
    <n v="165000"/>
    <n v="0.28000000000000003"/>
    <n v="0.18"/>
    <n v="211200"/>
    <n v="194700"/>
    <n v="-16500"/>
    <n v="3798220800"/>
    <n v="3676559040"/>
    <n v="17984"/>
    <n v="18883.2"/>
    <n v="899.20000000000073"/>
    <n v="-121661760"/>
  </r>
  <r>
    <s v="Sep"/>
    <s v="Bajaj"/>
    <s v="Pulsar RS200"/>
    <n v="199"/>
    <s v="151-350"/>
    <x v="1"/>
    <n v="165000"/>
    <n v="0.28000000000000003"/>
    <n v="0.18"/>
    <n v="211200"/>
    <n v="194700"/>
    <n v="-16500"/>
    <n v="3184262400"/>
    <n v="3082266495"/>
    <n v="15077"/>
    <n v="15830.85"/>
    <n v="753.85000000000036"/>
    <n v="-101995905"/>
  </r>
  <r>
    <s v="Jan"/>
    <s v="Bajaj"/>
    <s v="Pulsar 220F"/>
    <n v="220"/>
    <s v="151-350"/>
    <x v="1"/>
    <n v="140000"/>
    <n v="0.28000000000000003"/>
    <n v="0.18"/>
    <n v="179200"/>
    <n v="165200"/>
    <n v="-14000"/>
    <n v="7121049600"/>
    <n v="6892953480"/>
    <n v="39738"/>
    <n v="41724.9"/>
    <n v="1986.9000000000015"/>
    <n v="-228096120"/>
  </r>
  <r>
    <s v="Feb"/>
    <s v="Bajaj"/>
    <s v="Pulsar 220F"/>
    <n v="220"/>
    <s v="151-350"/>
    <x v="1"/>
    <n v="140000"/>
    <n v="0.28000000000000003"/>
    <n v="0.18"/>
    <n v="179200"/>
    <n v="165200"/>
    <n v="-14000"/>
    <n v="7988377600"/>
    <n v="7732499880"/>
    <n v="44578"/>
    <n v="46806.9"/>
    <n v="2228.9000000000015"/>
    <n v="-255877720"/>
  </r>
  <r>
    <s v="Mar"/>
    <s v="Bajaj"/>
    <s v="Pulsar 220F"/>
    <n v="220"/>
    <s v="151-350"/>
    <x v="1"/>
    <n v="140000"/>
    <n v="0.28000000000000003"/>
    <n v="0.18"/>
    <n v="179200"/>
    <n v="165200"/>
    <n v="-14000"/>
    <n v="7508838400"/>
    <n v="7268320920"/>
    <n v="41902"/>
    <n v="43997.1"/>
    <n v="2095.0999999999985"/>
    <n v="-240517480"/>
  </r>
  <r>
    <s v="Apr"/>
    <s v="Bajaj"/>
    <s v="Pulsar 220F"/>
    <n v="220"/>
    <s v="151-350"/>
    <x v="1"/>
    <n v="140000"/>
    <n v="0.28000000000000003"/>
    <n v="0.18"/>
    <n v="179200"/>
    <n v="165200"/>
    <n v="-14000"/>
    <n v="7705958400"/>
    <n v="7459126920"/>
    <n v="43002"/>
    <n v="45152.1"/>
    <n v="2150.0999999999985"/>
    <n v="-246831480"/>
  </r>
  <r>
    <s v="May"/>
    <s v="Bajaj"/>
    <s v="Pulsar 220F"/>
    <n v="220"/>
    <s v="151-350"/>
    <x v="1"/>
    <n v="140000"/>
    <n v="0.28000000000000003"/>
    <n v="0.18"/>
    <n v="179200"/>
    <n v="165200"/>
    <n v="-14000"/>
    <n v="7073382400"/>
    <n v="6846813120"/>
    <n v="39472"/>
    <n v="41445.599999999999"/>
    <n v="1973.5999999999985"/>
    <n v="-226569280"/>
  </r>
  <r>
    <s v="Jun"/>
    <s v="Bajaj"/>
    <s v="Pulsar 220F"/>
    <n v="220"/>
    <s v="151-350"/>
    <x v="1"/>
    <n v="140000"/>
    <n v="0.28000000000000003"/>
    <n v="0.18"/>
    <n v="179200"/>
    <n v="165200"/>
    <n v="-14000"/>
    <n v="7955404800"/>
    <n v="7700583240.000001"/>
    <n v="44394"/>
    <n v="46613.700000000004"/>
    <n v="2219.7000000000044"/>
    <n v="-254821559.99999905"/>
  </r>
  <r>
    <s v="Jul"/>
    <s v="Bajaj"/>
    <s v="Pulsar 220F"/>
    <n v="220"/>
    <s v="151-350"/>
    <x v="1"/>
    <n v="140000"/>
    <n v="0.28000000000000003"/>
    <n v="0.18"/>
    <n v="179200"/>
    <n v="165200"/>
    <n v="-14000"/>
    <n v="6386329600"/>
    <n v="6181767480"/>
    <n v="35638"/>
    <n v="37419.9"/>
    <n v="1781.9000000000015"/>
    <n v="-204562120"/>
  </r>
  <r>
    <s v="Aug"/>
    <s v="Bajaj"/>
    <s v="Pulsar 220F"/>
    <n v="220"/>
    <s v="151-350"/>
    <x v="1"/>
    <n v="140000"/>
    <n v="0.28000000000000003"/>
    <n v="0.18"/>
    <n v="179200"/>
    <n v="165200"/>
    <n v="-14000"/>
    <n v="6800819200"/>
    <n v="6582980460.000001"/>
    <n v="37951"/>
    <n v="39848.550000000003"/>
    <n v="1897.5500000000029"/>
    <n v="-217838739.99999905"/>
  </r>
  <r>
    <s v="Sep"/>
    <s v="Bajaj"/>
    <s v="Pulsar 220F"/>
    <n v="220"/>
    <s v="151-350"/>
    <x v="1"/>
    <n v="140000"/>
    <n v="0.28000000000000003"/>
    <n v="0.18"/>
    <n v="179200"/>
    <n v="165200"/>
    <n v="-14000"/>
    <n v="5655552000"/>
    <n v="5474397600"/>
    <n v="31560"/>
    <n v="33138"/>
    <n v="1578"/>
    <n v="-181154400"/>
  </r>
  <r>
    <s v="Oct"/>
    <s v="Bajaj"/>
    <s v="Pulsar 220F"/>
    <n v="220"/>
    <s v="151-350"/>
    <x v="1"/>
    <n v="140000"/>
    <n v="0.28000000000000003"/>
    <n v="0.18"/>
    <n v="179200"/>
    <n v="165200"/>
    <n v="-14000"/>
    <n v="5585843200"/>
    <n v="5406921660.000001"/>
    <n v="31171"/>
    <n v="32729.550000000003"/>
    <n v="1558.5500000000029"/>
    <n v="-178921539.99999905"/>
  </r>
  <r>
    <s v="Nov"/>
    <s v="Bajaj"/>
    <s v="Pulsar 220F"/>
    <n v="220"/>
    <s v="151-350"/>
    <x v="1"/>
    <n v="140000"/>
    <n v="0.28000000000000003"/>
    <n v="0.18"/>
    <n v="179200"/>
    <n v="165200"/>
    <n v="-14000"/>
    <n v="6170035200"/>
    <n v="5972401260.000001"/>
    <n v="34431"/>
    <n v="36152.550000000003"/>
    <n v="1721.5500000000029"/>
    <n v="-197633939.99999905"/>
  </r>
  <r>
    <s v="Dec"/>
    <s v="Bajaj"/>
    <s v="Pulsar 220F"/>
    <n v="220"/>
    <s v="151-350"/>
    <x v="1"/>
    <n v="140000"/>
    <n v="0.28000000000000003"/>
    <n v="0.18"/>
    <n v="179200"/>
    <n v="165200"/>
    <n v="-14000"/>
    <n v="7614208000"/>
    <n v="7370315400"/>
    <n v="42490"/>
    <n v="44614.5"/>
    <n v="2124.5"/>
    <n v="-243892600"/>
  </r>
  <r>
    <s v="Jan"/>
    <s v="Bajaj"/>
    <s v="Pulsar 220F"/>
    <n v="220"/>
    <s v="151-350"/>
    <x v="1"/>
    <n v="140000"/>
    <n v="0.28000000000000003"/>
    <n v="0.18"/>
    <n v="179200"/>
    <n v="165200"/>
    <n v="-14000"/>
    <n v="8252518400"/>
    <n v="7988179920"/>
    <n v="46052"/>
    <n v="48354.6"/>
    <n v="2302.5999999999985"/>
    <n v="-264338480"/>
  </r>
  <r>
    <s v="Feb"/>
    <s v="Bajaj"/>
    <s v="Pulsar 220F"/>
    <n v="220"/>
    <s v="151-350"/>
    <x v="1"/>
    <n v="140000"/>
    <n v="0.28000000000000003"/>
    <n v="0.18"/>
    <n v="179200"/>
    <n v="165200"/>
    <n v="-14000"/>
    <n v="8572390400"/>
    <n v="8297806020"/>
    <n v="47837"/>
    <n v="50228.85"/>
    <n v="2391.8499999999985"/>
    <n v="-274584380"/>
  </r>
  <r>
    <s v="Mar"/>
    <s v="Bajaj"/>
    <s v="Pulsar 220F"/>
    <n v="220"/>
    <s v="151-350"/>
    <x v="1"/>
    <n v="140000"/>
    <n v="0.28000000000000003"/>
    <n v="0.18"/>
    <n v="179200"/>
    <n v="165200"/>
    <n v="-14000"/>
    <n v="8359859200"/>
    <n v="8092082460.000001"/>
    <n v="46651"/>
    <n v="48983.55"/>
    <n v="2332.5500000000029"/>
    <n v="-267776739.99999905"/>
  </r>
  <r>
    <s v="Apr"/>
    <s v="Bajaj"/>
    <s v="Pulsar 220F"/>
    <n v="220"/>
    <s v="151-350"/>
    <x v="1"/>
    <n v="140000"/>
    <n v="0.28000000000000003"/>
    <n v="0.18"/>
    <n v="179200"/>
    <n v="165200"/>
    <n v="-14000"/>
    <n v="8842444800"/>
    <n v="8559210240.000001"/>
    <n v="49344"/>
    <n v="51811.200000000004"/>
    <n v="2467.2000000000044"/>
    <n v="-283234559.99999905"/>
  </r>
  <r>
    <s v="May"/>
    <s v="Bajaj"/>
    <s v="Pulsar 220F"/>
    <n v="220"/>
    <s v="151-350"/>
    <x v="1"/>
    <n v="140000"/>
    <n v="0.28000000000000003"/>
    <n v="0.18"/>
    <n v="179200"/>
    <n v="165200"/>
    <n v="-14000"/>
    <n v="6341171200"/>
    <n v="6138055560.000001"/>
    <n v="35386"/>
    <n v="37155.300000000003"/>
    <n v="1769.3000000000029"/>
    <n v="-203115639.99999905"/>
  </r>
  <r>
    <s v="Jun"/>
    <s v="Bajaj"/>
    <s v="Pulsar 220F"/>
    <n v="220"/>
    <s v="151-350"/>
    <x v="1"/>
    <n v="140000"/>
    <n v="0.28000000000000003"/>
    <n v="0.18"/>
    <n v="179200"/>
    <n v="165200"/>
    <n v="-14000"/>
    <n v="8044288000"/>
    <n v="7786619400"/>
    <n v="44890"/>
    <n v="47134.5"/>
    <n v="2244.5"/>
    <n v="-257668600"/>
  </r>
  <r>
    <s v="Jul"/>
    <s v="Bajaj"/>
    <s v="Pulsar 220F"/>
    <n v="220"/>
    <s v="151-350"/>
    <x v="1"/>
    <n v="140000"/>
    <n v="0.28000000000000003"/>
    <n v="0.18"/>
    <n v="179200"/>
    <n v="165200"/>
    <n v="-14000"/>
    <n v="7026790400"/>
    <n v="6801713520"/>
    <n v="39212"/>
    <n v="41172.6"/>
    <n v="1960.5999999999985"/>
    <n v="-225076880"/>
  </r>
  <r>
    <s v="Aug"/>
    <s v="Bajaj"/>
    <s v="Pulsar 220F"/>
    <n v="220"/>
    <s v="151-350"/>
    <x v="1"/>
    <n v="140000"/>
    <n v="0.28000000000000003"/>
    <n v="0.18"/>
    <n v="179200"/>
    <n v="165200"/>
    <n v="-14000"/>
    <n v="6568755200"/>
    <n v="6358349760.000001"/>
    <n v="36656"/>
    <n v="38488.800000000003"/>
    <n v="1832.8000000000029"/>
    <n v="-210405439.99999905"/>
  </r>
  <r>
    <s v="Sep"/>
    <s v="Bajaj"/>
    <s v="Pulsar 220F"/>
    <n v="220"/>
    <s v="151-350"/>
    <x v="1"/>
    <n v="140000"/>
    <n v="0.28000000000000003"/>
    <n v="0.18"/>
    <n v="179200"/>
    <n v="165200"/>
    <n v="-14000"/>
    <n v="6080076800"/>
    <n v="5885324340.000001"/>
    <n v="33929"/>
    <n v="35625.450000000004"/>
    <n v="1696.4500000000044"/>
    <n v="-194752459.99999905"/>
  </r>
  <r>
    <s v="Oct"/>
    <s v="Bajaj"/>
    <s v="Pulsar 220F"/>
    <n v="220"/>
    <s v="151-350"/>
    <x v="1"/>
    <n v="140000"/>
    <n v="0.28000000000000003"/>
    <n v="0.18"/>
    <n v="179200"/>
    <n v="165200"/>
    <n v="-14000"/>
    <n v="6358195200"/>
    <n v="6154534260.000001"/>
    <n v="35481"/>
    <n v="37255.050000000003"/>
    <n v="1774.0500000000029"/>
    <n v="-203660939.99999905"/>
  </r>
  <r>
    <s v="Nov"/>
    <s v="Bajaj"/>
    <s v="Pulsar 220F"/>
    <n v="220"/>
    <s v="151-350"/>
    <x v="1"/>
    <n v="140000"/>
    <n v="0.28000000000000003"/>
    <n v="0.18"/>
    <n v="179200"/>
    <n v="165200"/>
    <n v="-14000"/>
    <n v="6326476800"/>
    <n v="6123831840.000001"/>
    <n v="35304"/>
    <n v="37069.200000000004"/>
    <n v="1765.2000000000044"/>
    <n v="-202644959.99999905"/>
  </r>
  <r>
    <s v="Dec"/>
    <s v="Bajaj"/>
    <s v="Pulsar 220F"/>
    <n v="220"/>
    <s v="151-350"/>
    <x v="1"/>
    <n v="140000"/>
    <n v="0.28000000000000003"/>
    <n v="0.18"/>
    <n v="179200"/>
    <n v="165200"/>
    <n v="-14000"/>
    <n v="7996620800"/>
    <n v="7740479040.000001"/>
    <n v="44624"/>
    <n v="46855.200000000004"/>
    <n v="2231.2000000000044"/>
    <n v="-256141759.99999905"/>
  </r>
  <r>
    <s v="Jan"/>
    <s v="Bajaj"/>
    <s v="Pulsar 220F"/>
    <n v="220"/>
    <s v="151-350"/>
    <x v="1"/>
    <n v="140000"/>
    <n v="0.28000000000000003"/>
    <n v="0.18"/>
    <n v="179200"/>
    <n v="165200"/>
    <n v="-14000"/>
    <n v="8529024000"/>
    <n v="8255828700"/>
    <n v="47595"/>
    <n v="49974.75"/>
    <n v="2379.75"/>
    <n v="-273195300"/>
  </r>
  <r>
    <s v="Feb"/>
    <s v="Bajaj"/>
    <s v="Pulsar 220F"/>
    <n v="220"/>
    <s v="151-350"/>
    <x v="1"/>
    <n v="140000"/>
    <n v="0.28000000000000003"/>
    <n v="0.18"/>
    <n v="179200"/>
    <n v="165200"/>
    <n v="-14000"/>
    <n v="8538342400"/>
    <n v="8264848620"/>
    <n v="47647"/>
    <n v="50029.35"/>
    <n v="2382.3499999999985"/>
    <n v="-273493780"/>
  </r>
  <r>
    <s v="Mar"/>
    <s v="Bajaj"/>
    <s v="Pulsar 220F"/>
    <n v="220"/>
    <s v="151-350"/>
    <x v="1"/>
    <n v="140000"/>
    <n v="0.28000000000000003"/>
    <n v="0.18"/>
    <n v="179200"/>
    <n v="165200"/>
    <n v="-14000"/>
    <n v="8225638400"/>
    <n v="7962160920"/>
    <n v="45902"/>
    <n v="48197.1"/>
    <n v="2295.0999999999985"/>
    <n v="-263477480"/>
  </r>
  <r>
    <s v="Apr"/>
    <s v="Bajaj"/>
    <s v="Pulsar 220F"/>
    <n v="220"/>
    <s v="151-350"/>
    <x v="1"/>
    <n v="140000"/>
    <n v="0.28000000000000003"/>
    <n v="0.18"/>
    <n v="179200"/>
    <n v="165200"/>
    <n v="-14000"/>
    <n v="7432320000"/>
    <n v="7194253500"/>
    <n v="41475"/>
    <n v="43548.75"/>
    <n v="2073.75"/>
    <n v="-238066500"/>
  </r>
  <r>
    <s v="May"/>
    <s v="Bajaj"/>
    <s v="Pulsar 220F"/>
    <n v="220"/>
    <s v="151-350"/>
    <x v="1"/>
    <n v="140000"/>
    <n v="0.28000000000000003"/>
    <n v="0.18"/>
    <n v="179200"/>
    <n v="165200"/>
    <n v="-14000"/>
    <n v="7256524800"/>
    <n v="7024089240.000001"/>
    <n v="40494"/>
    <n v="42518.700000000004"/>
    <n v="2024.7000000000044"/>
    <n v="-232435559.99999905"/>
  </r>
  <r>
    <s v="Jun"/>
    <s v="Bajaj"/>
    <s v="Pulsar 220F"/>
    <n v="220"/>
    <s v="151-350"/>
    <x v="1"/>
    <n v="140000"/>
    <n v="0.28000000000000003"/>
    <n v="0.18"/>
    <n v="179200"/>
    <n v="165200"/>
    <n v="-14000"/>
    <n v="6412313600"/>
    <n v="6206919180"/>
    <n v="35783"/>
    <n v="37572.15"/>
    <n v="1789.1500000000015"/>
    <n v="-205394420"/>
  </r>
  <r>
    <s v="Jul"/>
    <s v="Bajaj"/>
    <s v="Pulsar 220F"/>
    <n v="220"/>
    <s v="151-350"/>
    <x v="1"/>
    <n v="140000"/>
    <n v="0.28000000000000003"/>
    <n v="0.18"/>
    <n v="179200"/>
    <n v="165200"/>
    <n v="-14000"/>
    <n v="6178457600"/>
    <n v="5980553880"/>
    <n v="34478"/>
    <n v="36201.9"/>
    <n v="1723.9000000000015"/>
    <n v="-197903720"/>
  </r>
  <r>
    <s v="Aug"/>
    <s v="Bajaj"/>
    <s v="Pulsar 220F"/>
    <n v="220"/>
    <s v="151-350"/>
    <x v="1"/>
    <n v="140000"/>
    <n v="0.28000000000000003"/>
    <n v="0.18"/>
    <n v="179200"/>
    <n v="165200"/>
    <n v="-14000"/>
    <n v="6361600000"/>
    <n v="6157830000"/>
    <n v="35500"/>
    <n v="37275"/>
    <n v="1775"/>
    <n v="-203770000"/>
  </r>
  <r>
    <s v="Sep"/>
    <s v="Bajaj"/>
    <s v="Pulsar 220F"/>
    <n v="220"/>
    <s v="151-350"/>
    <x v="1"/>
    <n v="140000"/>
    <n v="0.28000000000000003"/>
    <n v="0.18"/>
    <n v="179200"/>
    <n v="165200"/>
    <n v="-14000"/>
    <n v="6021657600"/>
    <n v="5828776380"/>
    <n v="33603"/>
    <n v="35283.15"/>
    <n v="1680.1500000000015"/>
    <n v="-192881220"/>
  </r>
  <r>
    <s v="Jan"/>
    <s v="Bajaj"/>
    <s v="Avenger Cruise 220"/>
    <n v="220"/>
    <s v="151-350"/>
    <x v="1"/>
    <n v="140000"/>
    <n v="0.28000000000000003"/>
    <n v="0.18"/>
    <n v="179200"/>
    <n v="165200"/>
    <n v="-14000"/>
    <n v="2845158400"/>
    <n v="2754024420.0000005"/>
    <n v="15877"/>
    <n v="16670.850000000002"/>
    <n v="793.85000000000218"/>
    <n v="-91133979.999999523"/>
  </r>
  <r>
    <s v="Feb"/>
    <s v="Bajaj"/>
    <s v="Avenger Cruise 220"/>
    <n v="220"/>
    <s v="151-350"/>
    <x v="1"/>
    <n v="140000"/>
    <n v="0.28000000000000003"/>
    <n v="0.18"/>
    <n v="179200"/>
    <n v="165200"/>
    <n v="-14000"/>
    <n v="2603955200"/>
    <n v="2520547260"/>
    <n v="14531"/>
    <n v="15257.550000000001"/>
    <n v="726.55000000000109"/>
    <n v="-83407940"/>
  </r>
  <r>
    <s v="Mar"/>
    <s v="Bajaj"/>
    <s v="Avenger Cruise 220"/>
    <n v="220"/>
    <s v="151-350"/>
    <x v="1"/>
    <n v="140000"/>
    <n v="0.28000000000000003"/>
    <n v="0.18"/>
    <n v="179200"/>
    <n v="165200"/>
    <n v="-14000"/>
    <n v="2897664000"/>
    <n v="2804848200"/>
    <n v="16170"/>
    <n v="16978.5"/>
    <n v="808.5"/>
    <n v="-92815800"/>
  </r>
  <r>
    <s v="Apr"/>
    <s v="Bajaj"/>
    <s v="Avenger Cruise 220"/>
    <n v="220"/>
    <s v="151-350"/>
    <x v="1"/>
    <n v="140000"/>
    <n v="0.28000000000000003"/>
    <n v="0.18"/>
    <n v="179200"/>
    <n v="165200"/>
    <n v="-14000"/>
    <n v="3062886400"/>
    <n v="2964778320.0000005"/>
    <n v="17092"/>
    <n v="17946.600000000002"/>
    <n v="854.60000000000218"/>
    <n v="-98108079.999999523"/>
  </r>
  <r>
    <s v="May"/>
    <s v="Bajaj"/>
    <s v="Avenger Cruise 220"/>
    <n v="220"/>
    <s v="151-350"/>
    <x v="1"/>
    <n v="140000"/>
    <n v="0.28000000000000003"/>
    <n v="0.18"/>
    <n v="179200"/>
    <n v="165200"/>
    <n v="-14000"/>
    <n v="2889420800"/>
    <n v="2796869040"/>
    <n v="16124"/>
    <n v="16930.2"/>
    <n v="806.20000000000073"/>
    <n v="-92551760"/>
  </r>
  <r>
    <s v="Jun"/>
    <s v="Bajaj"/>
    <s v="Avenger Cruise 220"/>
    <n v="220"/>
    <s v="151-350"/>
    <x v="1"/>
    <n v="140000"/>
    <n v="0.28000000000000003"/>
    <n v="0.18"/>
    <n v="179200"/>
    <n v="165200"/>
    <n v="-14000"/>
    <n v="2713088000"/>
    <n v="2626184400"/>
    <n v="15140"/>
    <n v="15897"/>
    <n v="757"/>
    <n v="-86903600"/>
  </r>
  <r>
    <s v="Jul"/>
    <s v="Bajaj"/>
    <s v="Avenger Cruise 220"/>
    <n v="220"/>
    <s v="151-350"/>
    <x v="1"/>
    <n v="140000"/>
    <n v="0.28000000000000003"/>
    <n v="0.18"/>
    <n v="179200"/>
    <n v="165200"/>
    <n v="-14000"/>
    <n v="2854656000"/>
    <n v="2763217800"/>
    <n v="15930"/>
    <n v="16726.5"/>
    <n v="796.5"/>
    <n v="-91438200"/>
  </r>
  <r>
    <s v="Aug"/>
    <s v="Bajaj"/>
    <s v="Avenger Cruise 220"/>
    <n v="220"/>
    <s v="151-350"/>
    <x v="1"/>
    <n v="140000"/>
    <n v="0.28000000000000003"/>
    <n v="0.18"/>
    <n v="179200"/>
    <n v="165200"/>
    <n v="-14000"/>
    <n v="2253260800"/>
    <n v="2181086040"/>
    <n v="12574"/>
    <n v="13202.7"/>
    <n v="628.70000000000073"/>
    <n v="-72174760"/>
  </r>
  <r>
    <s v="Sep"/>
    <s v="Bajaj"/>
    <s v="Avenger Cruise 220"/>
    <n v="220"/>
    <s v="151-350"/>
    <x v="1"/>
    <n v="140000"/>
    <n v="0.28000000000000003"/>
    <n v="0.18"/>
    <n v="179200"/>
    <n v="165200"/>
    <n v="-14000"/>
    <n v="2407014400"/>
    <n v="2329914720"/>
    <n v="13432"/>
    <n v="14103.6"/>
    <n v="671.60000000000036"/>
    <n v="-77099680"/>
  </r>
  <r>
    <s v="Oct"/>
    <s v="Bajaj"/>
    <s v="Avenger Cruise 220"/>
    <n v="220"/>
    <s v="151-350"/>
    <x v="1"/>
    <n v="140000"/>
    <n v="0.28000000000000003"/>
    <n v="0.18"/>
    <n v="179200"/>
    <n v="165200"/>
    <n v="-14000"/>
    <n v="2334796800"/>
    <n v="2260010340"/>
    <n v="13029"/>
    <n v="13680.45"/>
    <n v="651.45000000000073"/>
    <n v="-74786460"/>
  </r>
  <r>
    <s v="Nov"/>
    <s v="Bajaj"/>
    <s v="Avenger Cruise 220"/>
    <n v="220"/>
    <s v="151-350"/>
    <x v="1"/>
    <n v="140000"/>
    <n v="0.28000000000000003"/>
    <n v="0.18"/>
    <n v="179200"/>
    <n v="165200"/>
    <n v="-14000"/>
    <n v="2877235200"/>
    <n v="2785073760"/>
    <n v="16056"/>
    <n v="16858.8"/>
    <n v="802.79999999999927"/>
    <n v="-92161440"/>
  </r>
  <r>
    <s v="Dec"/>
    <s v="Bajaj"/>
    <s v="Avenger Cruise 220"/>
    <n v="220"/>
    <s v="151-350"/>
    <x v="1"/>
    <n v="140000"/>
    <n v="0.28000000000000003"/>
    <n v="0.18"/>
    <n v="179200"/>
    <n v="165200"/>
    <n v="-14000"/>
    <n v="2685670400"/>
    <n v="2599645020"/>
    <n v="14987"/>
    <n v="15736.35"/>
    <n v="749.35000000000036"/>
    <n v="-86025380"/>
  </r>
  <r>
    <s v="Jan"/>
    <s v="Bajaj"/>
    <s v="Avenger Cruise 220"/>
    <n v="220"/>
    <s v="151-350"/>
    <x v="1"/>
    <n v="140000"/>
    <n v="0.28000000000000003"/>
    <n v="0.18"/>
    <n v="179200"/>
    <n v="165200"/>
    <n v="-14000"/>
    <n v="2712012800"/>
    <n v="2625143640"/>
    <n v="15134"/>
    <n v="15890.7"/>
    <n v="756.70000000000073"/>
    <n v="-86869160"/>
  </r>
  <r>
    <s v="Feb"/>
    <s v="Bajaj"/>
    <s v="Avenger Cruise 220"/>
    <n v="220"/>
    <s v="151-350"/>
    <x v="1"/>
    <n v="140000"/>
    <n v="0.28000000000000003"/>
    <n v="0.18"/>
    <n v="179200"/>
    <n v="165200"/>
    <n v="-14000"/>
    <n v="2763801600"/>
    <n v="2675273580.0000005"/>
    <n v="15423"/>
    <n v="16194.150000000001"/>
    <n v="771.15000000000146"/>
    <n v="-88528019.999999523"/>
  </r>
  <r>
    <s v="Mar"/>
    <s v="Bajaj"/>
    <s v="Avenger Cruise 220"/>
    <n v="220"/>
    <s v="151-350"/>
    <x v="1"/>
    <n v="140000"/>
    <n v="0.28000000000000003"/>
    <n v="0.18"/>
    <n v="179200"/>
    <n v="165200"/>
    <n v="-14000"/>
    <n v="2388198400"/>
    <n v="2311701420"/>
    <n v="13327"/>
    <n v="13993.35"/>
    <n v="666.35000000000036"/>
    <n v="-76496980"/>
  </r>
  <r>
    <s v="Apr"/>
    <s v="Bajaj"/>
    <s v="Avenger Cruise 220"/>
    <n v="220"/>
    <s v="151-350"/>
    <x v="1"/>
    <n v="140000"/>
    <n v="0.28000000000000003"/>
    <n v="0.18"/>
    <n v="179200"/>
    <n v="165200"/>
    <n v="-14000"/>
    <n v="3299251200"/>
    <n v="3193572060"/>
    <n v="18411"/>
    <n v="19331.55"/>
    <n v="920.54999999999927"/>
    <n v="-105679140"/>
  </r>
  <r>
    <s v="May"/>
    <s v="Bajaj"/>
    <s v="Avenger Cruise 220"/>
    <n v="220"/>
    <s v="151-350"/>
    <x v="1"/>
    <n v="140000"/>
    <n v="0.28000000000000003"/>
    <n v="0.18"/>
    <n v="179200"/>
    <n v="165200"/>
    <n v="-14000"/>
    <n v="2733516800"/>
    <n v="2645958840"/>
    <n v="15254"/>
    <n v="16016.7"/>
    <n v="762.70000000000073"/>
    <n v="-87557960"/>
  </r>
  <r>
    <s v="Jun"/>
    <s v="Bajaj"/>
    <s v="Avenger Cruise 220"/>
    <n v="220"/>
    <s v="151-350"/>
    <x v="1"/>
    <n v="140000"/>
    <n v="0.28000000000000003"/>
    <n v="0.18"/>
    <n v="179200"/>
    <n v="165200"/>
    <n v="-14000"/>
    <n v="2752332800"/>
    <n v="2664172140"/>
    <n v="15359"/>
    <n v="16126.95"/>
    <n v="767.95000000000073"/>
    <n v="-88160660"/>
  </r>
  <r>
    <s v="Jul"/>
    <s v="Bajaj"/>
    <s v="Avenger Cruise 220"/>
    <n v="220"/>
    <s v="151-350"/>
    <x v="1"/>
    <n v="140000"/>
    <n v="0.28000000000000003"/>
    <n v="0.18"/>
    <n v="179200"/>
    <n v="165200"/>
    <n v="-14000"/>
    <n v="2636569600"/>
    <n v="2552116980.0000005"/>
    <n v="14713"/>
    <n v="15448.650000000001"/>
    <n v="735.65000000000146"/>
    <n v="-84452619.999999523"/>
  </r>
  <r>
    <s v="Aug"/>
    <s v="Bajaj"/>
    <s v="Avenger Cruise 220"/>
    <n v="220"/>
    <s v="151-350"/>
    <x v="1"/>
    <n v="140000"/>
    <n v="0.28000000000000003"/>
    <n v="0.18"/>
    <n v="179200"/>
    <n v="165200"/>
    <n v="-14000"/>
    <n v="2193228800"/>
    <n v="2122976940.0000002"/>
    <n v="12239"/>
    <n v="12850.95"/>
    <n v="611.95000000000073"/>
    <n v="-70251859.999999762"/>
  </r>
  <r>
    <s v="Sep"/>
    <s v="Bajaj"/>
    <s v="Avenger Cruise 220"/>
    <n v="220"/>
    <s v="151-350"/>
    <x v="1"/>
    <n v="140000"/>
    <n v="0.28000000000000003"/>
    <n v="0.18"/>
    <n v="179200"/>
    <n v="165200"/>
    <n v="-14000"/>
    <n v="2140902400"/>
    <n v="2072326620"/>
    <n v="11947"/>
    <n v="12544.35"/>
    <n v="597.35000000000036"/>
    <n v="-68575780"/>
  </r>
  <r>
    <s v="Oct"/>
    <s v="Bajaj"/>
    <s v="Avenger Cruise 220"/>
    <n v="220"/>
    <s v="151-350"/>
    <x v="1"/>
    <n v="140000"/>
    <n v="0.28000000000000003"/>
    <n v="0.18"/>
    <n v="179200"/>
    <n v="165200"/>
    <n v="-14000"/>
    <n v="2411136000"/>
    <n v="2333904300"/>
    <n v="13455"/>
    <n v="14127.75"/>
    <n v="672.75"/>
    <n v="-77231700"/>
  </r>
  <r>
    <s v="Nov"/>
    <s v="Bajaj"/>
    <s v="Avenger Cruise 220"/>
    <n v="220"/>
    <s v="151-350"/>
    <x v="1"/>
    <n v="140000"/>
    <n v="0.28000000000000003"/>
    <n v="0.18"/>
    <n v="179200"/>
    <n v="165200"/>
    <n v="-14000"/>
    <n v="2365977600"/>
    <n v="2290192380.0000005"/>
    <n v="13203"/>
    <n v="13863.150000000001"/>
    <n v="660.15000000000146"/>
    <n v="-75785219.999999523"/>
  </r>
  <r>
    <s v="Dec"/>
    <s v="Bajaj"/>
    <s v="Avenger Cruise 220"/>
    <n v="220"/>
    <s v="151-350"/>
    <x v="1"/>
    <n v="140000"/>
    <n v="0.28000000000000003"/>
    <n v="0.18"/>
    <n v="179200"/>
    <n v="165200"/>
    <n v="-14000"/>
    <n v="2503961600"/>
    <n v="2423756580.0000005"/>
    <n v="13973"/>
    <n v="14671.650000000001"/>
    <n v="698.65000000000146"/>
    <n v="-80205019.999999523"/>
  </r>
  <r>
    <s v="Jan"/>
    <s v="Bajaj"/>
    <s v="Avenger Cruise 220"/>
    <n v="220"/>
    <s v="151-350"/>
    <x v="1"/>
    <n v="140000"/>
    <n v="0.28000000000000003"/>
    <n v="0.18"/>
    <n v="179200"/>
    <n v="165200"/>
    <n v="-14000"/>
    <n v="2625996800"/>
    <n v="2541882840"/>
    <n v="14654"/>
    <n v="15386.7"/>
    <n v="732.70000000000073"/>
    <n v="-84113960"/>
  </r>
  <r>
    <s v="Feb"/>
    <s v="Bajaj"/>
    <s v="Avenger Cruise 220"/>
    <n v="220"/>
    <s v="151-350"/>
    <x v="1"/>
    <n v="140000"/>
    <n v="0.28000000000000003"/>
    <n v="0.18"/>
    <n v="179200"/>
    <n v="165200"/>
    <n v="-14000"/>
    <n v="3789184000"/>
    <n v="3667811700"/>
    <n v="21145"/>
    <n v="22202.25"/>
    <n v="1057.25"/>
    <n v="-121372300"/>
  </r>
  <r>
    <s v="Mar"/>
    <s v="Bajaj"/>
    <s v="Avenger Cruise 220"/>
    <n v="220"/>
    <s v="151-350"/>
    <x v="1"/>
    <n v="140000"/>
    <n v="0.28000000000000003"/>
    <n v="0.18"/>
    <n v="179200"/>
    <n v="165200"/>
    <n v="-14000"/>
    <n v="3365376000"/>
    <n v="3257578800"/>
    <n v="18780"/>
    <n v="19719"/>
    <n v="939"/>
    <n v="-107797200"/>
  </r>
  <r>
    <s v="Apr"/>
    <s v="Bajaj"/>
    <s v="Avenger Cruise 220"/>
    <n v="220"/>
    <s v="151-350"/>
    <x v="1"/>
    <n v="140000"/>
    <n v="0.28000000000000003"/>
    <n v="0.18"/>
    <n v="179200"/>
    <n v="165200"/>
    <n v="-14000"/>
    <n v="3051059200"/>
    <n v="2953329960"/>
    <n v="17026"/>
    <n v="17877.3"/>
    <n v="851.29999999999927"/>
    <n v="-97729240"/>
  </r>
  <r>
    <s v="May"/>
    <s v="Bajaj"/>
    <s v="Avenger Cruise 220"/>
    <n v="220"/>
    <s v="151-350"/>
    <x v="1"/>
    <n v="140000"/>
    <n v="0.28000000000000003"/>
    <n v="0.18"/>
    <n v="179200"/>
    <n v="165200"/>
    <n v="-14000"/>
    <n v="3126144000"/>
    <n v="3026009700"/>
    <n v="17445"/>
    <n v="18317.25"/>
    <n v="872.25"/>
    <n v="-100134300"/>
  </r>
  <r>
    <s v="Jun"/>
    <s v="Bajaj"/>
    <s v="Avenger Cruise 220"/>
    <n v="220"/>
    <s v="151-350"/>
    <x v="1"/>
    <n v="140000"/>
    <n v="0.28000000000000003"/>
    <n v="0.18"/>
    <n v="179200"/>
    <n v="165200"/>
    <n v="-14000"/>
    <n v="2258816000"/>
    <n v="2186463300"/>
    <n v="12605"/>
    <n v="13235.25"/>
    <n v="630.25"/>
    <n v="-72352700"/>
  </r>
  <r>
    <s v="Jul"/>
    <s v="Bajaj"/>
    <s v="Avenger Cruise 220"/>
    <n v="220"/>
    <s v="151-350"/>
    <x v="1"/>
    <n v="140000"/>
    <n v="0.28000000000000003"/>
    <n v="0.18"/>
    <n v="179200"/>
    <n v="165200"/>
    <n v="-14000"/>
    <n v="2140364800"/>
    <n v="2071806240.0000002"/>
    <n v="11944"/>
    <n v="12541.2"/>
    <n v="597.20000000000073"/>
    <n v="-68558559.999999762"/>
  </r>
  <r>
    <s v="Aug"/>
    <s v="Bajaj"/>
    <s v="Avenger Cruise 220"/>
    <n v="220"/>
    <s v="151-350"/>
    <x v="1"/>
    <n v="140000"/>
    <n v="0.28000000000000003"/>
    <n v="0.18"/>
    <n v="179200"/>
    <n v="165200"/>
    <n v="-14000"/>
    <n v="2387660800"/>
    <n v="2311181040"/>
    <n v="13324"/>
    <n v="13990.2"/>
    <n v="666.20000000000073"/>
    <n v="-76479760"/>
  </r>
  <r>
    <s v="Sep"/>
    <s v="Bajaj"/>
    <s v="Avenger Cruise 220"/>
    <n v="220"/>
    <s v="151-350"/>
    <x v="1"/>
    <n v="140000"/>
    <n v="0.28000000000000003"/>
    <n v="0.18"/>
    <n v="179200"/>
    <n v="165200"/>
    <n v="-14000"/>
    <n v="2358809600"/>
    <n v="2283253980.0000005"/>
    <n v="13163"/>
    <n v="13821.150000000001"/>
    <n v="658.15000000000146"/>
    <n v="-75555619.999999523"/>
  </r>
  <r>
    <s v="Jan"/>
    <s v="Bajaj"/>
    <s v="Dominar 250"/>
    <n v="248"/>
    <s v="151-350"/>
    <x v="1"/>
    <n v="180000"/>
    <n v="0.28000000000000003"/>
    <n v="0.18"/>
    <n v="230400"/>
    <n v="212400"/>
    <n v="-18000"/>
    <n v="3123302400"/>
    <n v="3023259120"/>
    <n v="13556"/>
    <n v="14233.800000000001"/>
    <n v="677.80000000000109"/>
    <n v="-100043280"/>
  </r>
  <r>
    <s v="Feb"/>
    <s v="Bajaj"/>
    <s v="Dominar 250"/>
    <n v="248"/>
    <s v="151-350"/>
    <x v="1"/>
    <n v="180000"/>
    <n v="0.28000000000000003"/>
    <n v="0.18"/>
    <n v="230400"/>
    <n v="212400"/>
    <n v="-18000"/>
    <n v="2132121600"/>
    <n v="2063827080.0000002"/>
    <n v="9254"/>
    <n v="9716.7000000000007"/>
    <n v="462.70000000000073"/>
    <n v="-68294519.999999762"/>
  </r>
  <r>
    <s v="Mar"/>
    <s v="Bajaj"/>
    <s v="Dominar 250"/>
    <n v="248"/>
    <s v="151-350"/>
    <x v="1"/>
    <n v="180000"/>
    <n v="0.28000000000000003"/>
    <n v="0.18"/>
    <n v="230400"/>
    <n v="212400"/>
    <n v="-18000"/>
    <n v="2639001600"/>
    <n v="2554471080"/>
    <n v="11454"/>
    <n v="12026.7"/>
    <n v="572.70000000000073"/>
    <n v="-84530520"/>
  </r>
  <r>
    <s v="Apr"/>
    <s v="Bajaj"/>
    <s v="Dominar 250"/>
    <n v="248"/>
    <s v="151-350"/>
    <x v="1"/>
    <n v="180000"/>
    <n v="0.28000000000000003"/>
    <n v="0.18"/>
    <n v="230400"/>
    <n v="212400"/>
    <n v="-18000"/>
    <n v="2694297600"/>
    <n v="2607995880"/>
    <n v="11694"/>
    <n v="12278.7"/>
    <n v="584.70000000000073"/>
    <n v="-86301720"/>
  </r>
  <r>
    <s v="May"/>
    <s v="Bajaj"/>
    <s v="Dominar 250"/>
    <n v="248"/>
    <s v="151-350"/>
    <x v="1"/>
    <n v="180000"/>
    <n v="0.28000000000000003"/>
    <n v="0.18"/>
    <n v="230400"/>
    <n v="212400"/>
    <n v="-18000"/>
    <n v="2661580800"/>
    <n v="2576327040"/>
    <n v="11552"/>
    <n v="12129.6"/>
    <n v="577.60000000000036"/>
    <n v="-85253760"/>
  </r>
  <r>
    <s v="Jun"/>
    <s v="Bajaj"/>
    <s v="Dominar 250"/>
    <n v="248"/>
    <s v="151-350"/>
    <x v="1"/>
    <n v="180000"/>
    <n v="0.28000000000000003"/>
    <n v="0.18"/>
    <n v="230400"/>
    <n v="212400"/>
    <n v="-18000"/>
    <n v="2188569600"/>
    <n v="2118466980.0000002"/>
    <n v="9499"/>
    <n v="9973.9500000000007"/>
    <n v="474.95000000000073"/>
    <n v="-70102619.999999762"/>
  </r>
  <r>
    <s v="Jul"/>
    <s v="Bajaj"/>
    <s v="Dominar 250"/>
    <n v="248"/>
    <s v="151-350"/>
    <x v="1"/>
    <n v="180000"/>
    <n v="0.28000000000000003"/>
    <n v="0.18"/>
    <n v="230400"/>
    <n v="212400"/>
    <n v="-18000"/>
    <n v="2303539200"/>
    <n v="2229753960"/>
    <n v="9998"/>
    <n v="10497.9"/>
    <n v="499.89999999999964"/>
    <n v="-73785240"/>
  </r>
  <r>
    <s v="Aug"/>
    <s v="Bajaj"/>
    <s v="Dominar 250"/>
    <n v="248"/>
    <s v="151-350"/>
    <x v="1"/>
    <n v="180000"/>
    <n v="0.28000000000000003"/>
    <n v="0.18"/>
    <n v="230400"/>
    <n v="212400"/>
    <n v="-18000"/>
    <n v="2093184000"/>
    <n v="2026136700"/>
    <n v="9085"/>
    <n v="9539.25"/>
    <n v="454.25"/>
    <n v="-67047300"/>
  </r>
  <r>
    <s v="Sep"/>
    <s v="Bajaj"/>
    <s v="Dominar 250"/>
    <n v="248"/>
    <s v="151-350"/>
    <x v="1"/>
    <n v="180000"/>
    <n v="0.28000000000000003"/>
    <n v="0.18"/>
    <n v="230400"/>
    <n v="212400"/>
    <n v="-18000"/>
    <n v="1632844800"/>
    <n v="1580542740"/>
    <n v="7087"/>
    <n v="7441.35"/>
    <n v="354.35000000000036"/>
    <n v="-52302060"/>
  </r>
  <r>
    <s v="Oct"/>
    <s v="Bajaj"/>
    <s v="Dominar 250"/>
    <n v="248"/>
    <s v="151-350"/>
    <x v="1"/>
    <n v="180000"/>
    <n v="0.28000000000000003"/>
    <n v="0.18"/>
    <n v="230400"/>
    <n v="212400"/>
    <n v="-18000"/>
    <n v="2368281600"/>
    <n v="2292422580"/>
    <n v="10279"/>
    <n v="10792.95"/>
    <n v="513.95000000000073"/>
    <n v="-75859020"/>
  </r>
  <r>
    <s v="Nov"/>
    <s v="Bajaj"/>
    <s v="Dominar 250"/>
    <n v="248"/>
    <s v="151-350"/>
    <x v="1"/>
    <n v="180000"/>
    <n v="0.28000000000000003"/>
    <n v="0.18"/>
    <n v="230400"/>
    <n v="212400"/>
    <n v="-18000"/>
    <n v="1820390400"/>
    <n v="1762081020.0000002"/>
    <n v="7901"/>
    <n v="8296.0500000000011"/>
    <n v="395.05000000000109"/>
    <n v="-58309379.999999762"/>
  </r>
  <r>
    <s v="Dec"/>
    <s v="Bajaj"/>
    <s v="Dominar 250"/>
    <n v="248"/>
    <s v="151-350"/>
    <x v="1"/>
    <n v="180000"/>
    <n v="0.28000000000000003"/>
    <n v="0.18"/>
    <n v="230400"/>
    <n v="212400"/>
    <n v="-18000"/>
    <n v="2421504000"/>
    <n v="2343940200"/>
    <n v="10510"/>
    <n v="11035.5"/>
    <n v="525.5"/>
    <n v="-77563800"/>
  </r>
  <r>
    <s v="Jan"/>
    <s v="Bajaj"/>
    <s v="Dominar 250"/>
    <n v="248"/>
    <s v="151-350"/>
    <x v="1"/>
    <n v="180000"/>
    <n v="0.28000000000000003"/>
    <n v="0.18"/>
    <n v="230400"/>
    <n v="212400"/>
    <n v="-18000"/>
    <n v="2092032000"/>
    <n v="2025021600"/>
    <n v="9080"/>
    <n v="9534"/>
    <n v="454"/>
    <n v="-67010400"/>
  </r>
  <r>
    <s v="Feb"/>
    <s v="Bajaj"/>
    <s v="Dominar 250"/>
    <n v="248"/>
    <s v="151-350"/>
    <x v="1"/>
    <n v="180000"/>
    <n v="0.28000000000000003"/>
    <n v="0.18"/>
    <n v="230400"/>
    <n v="212400"/>
    <n v="-18000"/>
    <n v="2884838400"/>
    <n v="2792433420"/>
    <n v="12521"/>
    <n v="13147.050000000001"/>
    <n v="626.05000000000109"/>
    <n v="-92404980"/>
  </r>
  <r>
    <s v="Mar"/>
    <s v="Bajaj"/>
    <s v="Dominar 250"/>
    <n v="248"/>
    <s v="151-350"/>
    <x v="1"/>
    <n v="180000"/>
    <n v="0.28000000000000003"/>
    <n v="0.18"/>
    <n v="230400"/>
    <n v="212400"/>
    <n v="-18000"/>
    <n v="3233894400"/>
    <n v="3130308720"/>
    <n v="14036"/>
    <n v="14737.800000000001"/>
    <n v="701.80000000000109"/>
    <n v="-103585680"/>
  </r>
  <r>
    <s v="Apr"/>
    <s v="Bajaj"/>
    <s v="Dominar 250"/>
    <n v="248"/>
    <s v="151-350"/>
    <x v="1"/>
    <n v="180000"/>
    <n v="0.28000000000000003"/>
    <n v="0.18"/>
    <n v="230400"/>
    <n v="212400"/>
    <n v="-18000"/>
    <n v="2559283200"/>
    <n v="2477306160"/>
    <n v="11108"/>
    <n v="11663.4"/>
    <n v="555.39999999999964"/>
    <n v="-81977040"/>
  </r>
  <r>
    <s v="May"/>
    <s v="Bajaj"/>
    <s v="Dominar 250"/>
    <n v="248"/>
    <s v="151-350"/>
    <x v="1"/>
    <n v="180000"/>
    <n v="0.28000000000000003"/>
    <n v="0.18"/>
    <n v="230400"/>
    <n v="212400"/>
    <n v="-18000"/>
    <n v="2412518400"/>
    <n v="2335242420"/>
    <n v="10471"/>
    <n v="10994.550000000001"/>
    <n v="523.55000000000109"/>
    <n v="-77275980"/>
  </r>
  <r>
    <s v="Jun"/>
    <s v="Bajaj"/>
    <s v="Dominar 250"/>
    <n v="248"/>
    <s v="151-350"/>
    <x v="1"/>
    <n v="180000"/>
    <n v="0.28000000000000003"/>
    <n v="0.18"/>
    <n v="230400"/>
    <n v="212400"/>
    <n v="-18000"/>
    <n v="2217139200"/>
    <n v="2146121460"/>
    <n v="9623"/>
    <n v="10104.15"/>
    <n v="481.14999999999964"/>
    <n v="-71017740"/>
  </r>
  <r>
    <s v="Jul"/>
    <s v="Bajaj"/>
    <s v="Dominar 250"/>
    <n v="248"/>
    <s v="151-350"/>
    <x v="1"/>
    <n v="180000"/>
    <n v="0.28000000000000003"/>
    <n v="0.18"/>
    <n v="230400"/>
    <n v="212400"/>
    <n v="-18000"/>
    <n v="2136038400"/>
    <n v="2067618420.0000002"/>
    <n v="9271"/>
    <n v="9734.5500000000011"/>
    <n v="463.55000000000109"/>
    <n v="-68419979.999999762"/>
  </r>
  <r>
    <s v="Aug"/>
    <s v="Bajaj"/>
    <s v="Dominar 250"/>
    <n v="248"/>
    <s v="151-350"/>
    <x v="1"/>
    <n v="180000"/>
    <n v="0.28000000000000003"/>
    <n v="0.18"/>
    <n v="230400"/>
    <n v="212400"/>
    <n v="-18000"/>
    <n v="1815321600"/>
    <n v="1757174580.0000002"/>
    <n v="7879"/>
    <n v="8272.9500000000007"/>
    <n v="393.95000000000073"/>
    <n v="-58147019.999999762"/>
  </r>
  <r>
    <s v="Sep"/>
    <s v="Bajaj"/>
    <s v="Dominar 250"/>
    <n v="248"/>
    <s v="151-350"/>
    <x v="1"/>
    <n v="180000"/>
    <n v="0.28000000000000003"/>
    <n v="0.18"/>
    <n v="230400"/>
    <n v="212400"/>
    <n v="-18000"/>
    <n v="1829836800"/>
    <n v="1771224840"/>
    <n v="7942"/>
    <n v="8339.1"/>
    <n v="397.10000000000036"/>
    <n v="-58611960"/>
  </r>
  <r>
    <s v="Oct"/>
    <s v="Bajaj"/>
    <s v="Dominar 250"/>
    <n v="248"/>
    <s v="151-350"/>
    <x v="1"/>
    <n v="180000"/>
    <n v="0.28000000000000003"/>
    <n v="0.18"/>
    <n v="230400"/>
    <n v="212400"/>
    <n v="-18000"/>
    <n v="2065996800"/>
    <n v="1999820340"/>
    <n v="8967"/>
    <n v="9415.35"/>
    <n v="448.35000000000036"/>
    <n v="-66176460"/>
  </r>
  <r>
    <s v="Nov"/>
    <s v="Bajaj"/>
    <s v="Dominar 250"/>
    <n v="248"/>
    <s v="151-350"/>
    <x v="1"/>
    <n v="180000"/>
    <n v="0.28000000000000003"/>
    <n v="0.18"/>
    <n v="230400"/>
    <n v="212400"/>
    <n v="-18000"/>
    <n v="2016230400"/>
    <n v="1951648020.0000002"/>
    <n v="8751"/>
    <n v="9188.5500000000011"/>
    <n v="437.55000000000109"/>
    <n v="-64582379.999999762"/>
  </r>
  <r>
    <s v="Dec"/>
    <s v="Bajaj"/>
    <s v="Dominar 250"/>
    <n v="248"/>
    <s v="151-350"/>
    <x v="1"/>
    <n v="180000"/>
    <n v="0.28000000000000003"/>
    <n v="0.18"/>
    <n v="230400"/>
    <n v="212400"/>
    <n v="-18000"/>
    <n v="2402841600"/>
    <n v="2325875580"/>
    <n v="10429"/>
    <n v="10950.45"/>
    <n v="521.45000000000073"/>
    <n v="-76966020"/>
  </r>
  <r>
    <s v="Jan"/>
    <s v="Bajaj"/>
    <s v="Dominar 250"/>
    <n v="248"/>
    <s v="151-350"/>
    <x v="1"/>
    <n v="180000"/>
    <n v="0.28000000000000003"/>
    <n v="0.18"/>
    <n v="230400"/>
    <n v="212400"/>
    <n v="-18000"/>
    <n v="2528870400"/>
    <n v="2447867520"/>
    <n v="10976"/>
    <n v="11524.800000000001"/>
    <n v="548.80000000000109"/>
    <n v="-81002880"/>
  </r>
  <r>
    <s v="Feb"/>
    <s v="Bajaj"/>
    <s v="Dominar 250"/>
    <n v="248"/>
    <s v="151-350"/>
    <x v="1"/>
    <n v="180000"/>
    <n v="0.28000000000000003"/>
    <n v="0.18"/>
    <n v="230400"/>
    <n v="212400"/>
    <n v="-18000"/>
    <n v="2616422400"/>
    <n v="2532615120"/>
    <n v="11356"/>
    <n v="11923.800000000001"/>
    <n v="567.80000000000109"/>
    <n v="-83807280"/>
  </r>
  <r>
    <s v="Mar"/>
    <s v="Bajaj"/>
    <s v="Dominar 250"/>
    <n v="248"/>
    <s v="151-350"/>
    <x v="1"/>
    <n v="180000"/>
    <n v="0.28000000000000003"/>
    <n v="0.18"/>
    <n v="230400"/>
    <n v="212400"/>
    <n v="-18000"/>
    <n v="2815488000"/>
    <n v="2725304400"/>
    <n v="12220"/>
    <n v="12831"/>
    <n v="611"/>
    <n v="-90183600"/>
  </r>
  <r>
    <s v="Apr"/>
    <s v="Bajaj"/>
    <s v="Dominar 250"/>
    <n v="248"/>
    <s v="151-350"/>
    <x v="1"/>
    <n v="180000"/>
    <n v="0.28000000000000003"/>
    <n v="0.18"/>
    <n v="230400"/>
    <n v="212400"/>
    <n v="-18000"/>
    <n v="2196864000"/>
    <n v="2126495700"/>
    <n v="9535"/>
    <n v="10011.75"/>
    <n v="476.75"/>
    <n v="-70368300"/>
  </r>
  <r>
    <s v="May"/>
    <s v="Bajaj"/>
    <s v="Dominar 250"/>
    <n v="248"/>
    <s v="151-350"/>
    <x v="1"/>
    <n v="180000"/>
    <n v="0.28000000000000003"/>
    <n v="0.18"/>
    <n v="230400"/>
    <n v="212400"/>
    <n v="-18000"/>
    <n v="2310912000"/>
    <n v="2236890600"/>
    <n v="10030"/>
    <n v="10531.5"/>
    <n v="501.5"/>
    <n v="-74021400"/>
  </r>
  <r>
    <s v="Jun"/>
    <s v="Bajaj"/>
    <s v="Dominar 250"/>
    <n v="248"/>
    <s v="151-350"/>
    <x v="1"/>
    <n v="180000"/>
    <n v="0.28000000000000003"/>
    <n v="0.18"/>
    <n v="230400"/>
    <n v="212400"/>
    <n v="-18000"/>
    <n v="2539008000"/>
    <n v="2457680400"/>
    <n v="11020"/>
    <n v="11571"/>
    <n v="551"/>
    <n v="-81327600"/>
  </r>
  <r>
    <s v="Jul"/>
    <s v="Bajaj"/>
    <s v="Dominar 250"/>
    <n v="248"/>
    <s v="151-350"/>
    <x v="1"/>
    <n v="180000"/>
    <n v="0.28000000000000003"/>
    <n v="0.18"/>
    <n v="230400"/>
    <n v="212400"/>
    <n v="-18000"/>
    <n v="2274508800"/>
    <n v="2201653440"/>
    <n v="9872"/>
    <n v="10365.6"/>
    <n v="493.60000000000036"/>
    <n v="-72855360"/>
  </r>
  <r>
    <s v="Aug"/>
    <s v="Bajaj"/>
    <s v="Dominar 250"/>
    <n v="248"/>
    <s v="151-350"/>
    <x v="1"/>
    <n v="180000"/>
    <n v="0.28000000000000003"/>
    <n v="0.18"/>
    <n v="230400"/>
    <n v="212400"/>
    <n v="-18000"/>
    <n v="2228428800"/>
    <n v="2157049440"/>
    <n v="9672"/>
    <n v="10155.6"/>
    <n v="483.6"/>
    <n v="-71379360"/>
  </r>
  <r>
    <s v="Sep"/>
    <s v="Bajaj"/>
    <s v="Dominar 250"/>
    <n v="248"/>
    <s v="151-350"/>
    <x v="1"/>
    <n v="180000"/>
    <n v="0.28000000000000003"/>
    <n v="0.18"/>
    <n v="230400"/>
    <n v="212400"/>
    <n v="-18000"/>
    <n v="1879833600"/>
    <n v="1819620180.0000002"/>
    <n v="8159"/>
    <n v="8566.9500000000007"/>
    <n v="407.95000000000073"/>
    <n v="-60213419.999999762"/>
  </r>
  <r>
    <s v="Jan"/>
    <s v="Bajaj"/>
    <s v="Dominar 400"/>
    <n v="373"/>
    <s v="&gt;350"/>
    <x v="2"/>
    <n v="230000"/>
    <n v="0.28000000000000003"/>
    <n v="0.4"/>
    <n v="294400"/>
    <n v="322000"/>
    <n v="27600"/>
    <n v="2589248000"/>
    <n v="2407191500"/>
    <n v="8795"/>
    <n v="7475.75"/>
    <n v="-1319.25"/>
    <n v="-182056500"/>
  </r>
  <r>
    <s v="Feb"/>
    <s v="Bajaj"/>
    <s v="Dominar 400"/>
    <n v="373"/>
    <s v="&gt;350"/>
    <x v="2"/>
    <n v="230000"/>
    <n v="0.28000000000000003"/>
    <n v="0.4"/>
    <n v="294400"/>
    <n v="322000"/>
    <n v="27600"/>
    <n v="2482086400"/>
    <n v="2307564700"/>
    <n v="8431"/>
    <n v="7166.3499999999995"/>
    <n v="-1264.6500000000005"/>
    <n v="-174521700"/>
  </r>
  <r>
    <s v="Mar"/>
    <s v="Bajaj"/>
    <s v="Dominar 400"/>
    <n v="373"/>
    <s v="&gt;350"/>
    <x v="2"/>
    <n v="230000"/>
    <n v="0.28000000000000003"/>
    <n v="0.4"/>
    <n v="294400"/>
    <n v="322000"/>
    <n v="27600"/>
    <n v="3056755200"/>
    <n v="2841827100"/>
    <n v="10383"/>
    <n v="8825.5499999999993"/>
    <n v="-1557.4500000000007"/>
    <n v="-214928100"/>
  </r>
  <r>
    <s v="Apr"/>
    <s v="Bajaj"/>
    <s v="Dominar 400"/>
    <n v="373"/>
    <s v="&gt;350"/>
    <x v="2"/>
    <n v="230000"/>
    <n v="0.28000000000000003"/>
    <n v="0.4"/>
    <n v="294400"/>
    <n v="322000"/>
    <n v="27600"/>
    <n v="2817408000"/>
    <n v="2619309000"/>
    <n v="9570"/>
    <n v="8134.5"/>
    <n v="-1435.5"/>
    <n v="-198099000"/>
  </r>
  <r>
    <s v="May"/>
    <s v="Bajaj"/>
    <s v="Dominar 400"/>
    <n v="373"/>
    <s v="&gt;350"/>
    <x v="2"/>
    <n v="230000"/>
    <n v="0.28000000000000003"/>
    <n v="0.4"/>
    <n v="294400"/>
    <n v="322000"/>
    <n v="27600"/>
    <n v="2429977600"/>
    <n v="2259119800"/>
    <n v="8254"/>
    <n v="7015.9"/>
    <n v="-1238.1000000000004"/>
    <n v="-170857800"/>
  </r>
  <r>
    <s v="Jun"/>
    <s v="Bajaj"/>
    <s v="Dominar 400"/>
    <n v="373"/>
    <s v="&gt;350"/>
    <x v="2"/>
    <n v="230000"/>
    <n v="0.28000000000000003"/>
    <n v="0.4"/>
    <n v="294400"/>
    <n v="322000"/>
    <n v="27600"/>
    <n v="2324876800"/>
    <n v="2161408900"/>
    <n v="7897"/>
    <n v="6712.45"/>
    <n v="-1184.5500000000002"/>
    <n v="-163467900"/>
  </r>
  <r>
    <s v="Jul"/>
    <s v="Bajaj"/>
    <s v="Dominar 400"/>
    <n v="373"/>
    <s v="&gt;350"/>
    <x v="2"/>
    <n v="230000"/>
    <n v="0.28000000000000003"/>
    <n v="0.4"/>
    <n v="294400"/>
    <n v="322000"/>
    <n v="27600"/>
    <n v="2258342400"/>
    <n v="2099552699.9999998"/>
    <n v="7671"/>
    <n v="6520.3499999999995"/>
    <n v="-1150.6500000000005"/>
    <n v="-158789700.00000024"/>
  </r>
  <r>
    <s v="Aug"/>
    <s v="Bajaj"/>
    <s v="Dominar 400"/>
    <n v="373"/>
    <s v="&gt;350"/>
    <x v="2"/>
    <n v="230000"/>
    <n v="0.28000000000000003"/>
    <n v="0.4"/>
    <n v="294400"/>
    <n v="322000"/>
    <n v="27600"/>
    <n v="2265408000"/>
    <n v="2106121500"/>
    <n v="7695"/>
    <n v="6540.75"/>
    <n v="-1154.25"/>
    <n v="-159286500"/>
  </r>
  <r>
    <s v="Sep"/>
    <s v="Bajaj"/>
    <s v="Dominar 400"/>
    <n v="373"/>
    <s v="&gt;350"/>
    <x v="2"/>
    <n v="230000"/>
    <n v="0.28000000000000003"/>
    <n v="0.4"/>
    <n v="294400"/>
    <n v="322000"/>
    <n v="27600"/>
    <n v="1992793600"/>
    <n v="1852675300"/>
    <n v="6769"/>
    <n v="5753.65"/>
    <n v="-1015.3500000000004"/>
    <n v="-140118300"/>
  </r>
  <r>
    <s v="Oct"/>
    <s v="Bajaj"/>
    <s v="Dominar 400"/>
    <n v="373"/>
    <s v="&gt;350"/>
    <x v="2"/>
    <n v="230000"/>
    <n v="0.28000000000000003"/>
    <n v="0.4"/>
    <n v="294400"/>
    <n v="322000"/>
    <n v="27600"/>
    <n v="1966297600"/>
    <n v="1828042300"/>
    <n v="6679"/>
    <n v="5677.15"/>
    <n v="-1001.8500000000004"/>
    <n v="-138255300"/>
  </r>
  <r>
    <s v="Nov"/>
    <s v="Bajaj"/>
    <s v="Dominar 400"/>
    <n v="373"/>
    <s v="&gt;350"/>
    <x v="2"/>
    <n v="230000"/>
    <n v="0.28000000000000003"/>
    <n v="0.4"/>
    <n v="294400"/>
    <n v="322000"/>
    <n v="27600"/>
    <n v="2183564800"/>
    <n v="2030032900"/>
    <n v="7417"/>
    <n v="6304.45"/>
    <n v="-1112.5500000000002"/>
    <n v="-153531900"/>
  </r>
  <r>
    <s v="Dec"/>
    <s v="Bajaj"/>
    <s v="Dominar 400"/>
    <n v="373"/>
    <s v="&gt;350"/>
    <x v="2"/>
    <n v="230000"/>
    <n v="0.28000000000000003"/>
    <n v="0.4"/>
    <n v="294400"/>
    <n v="322000"/>
    <n v="27600"/>
    <n v="2156185600"/>
    <n v="2004578800"/>
    <n v="7324"/>
    <n v="6225.4"/>
    <n v="-1098.6000000000004"/>
    <n v="-151606800"/>
  </r>
  <r>
    <s v="Jan"/>
    <s v="Bajaj"/>
    <s v="Dominar 400"/>
    <n v="373"/>
    <s v="&gt;350"/>
    <x v="2"/>
    <n v="230000"/>
    <n v="0.28000000000000003"/>
    <n v="0.4"/>
    <n v="294400"/>
    <n v="322000"/>
    <n v="27600"/>
    <n v="2157657600"/>
    <n v="2005947300"/>
    <n v="7329"/>
    <n v="6229.65"/>
    <n v="-1099.3500000000004"/>
    <n v="-151710300"/>
  </r>
  <r>
    <s v="Feb"/>
    <s v="Bajaj"/>
    <s v="Dominar 400"/>
    <n v="373"/>
    <s v="&gt;350"/>
    <x v="2"/>
    <n v="230000"/>
    <n v="0.28000000000000003"/>
    <n v="0.4"/>
    <n v="294400"/>
    <n v="322000"/>
    <n v="27600"/>
    <n v="2471782400"/>
    <n v="2297985200"/>
    <n v="8396"/>
    <n v="7136.5999999999995"/>
    <n v="-1259.4000000000005"/>
    <n v="-173797200"/>
  </r>
  <r>
    <s v="Mar"/>
    <s v="Bajaj"/>
    <s v="Dominar 400"/>
    <n v="373"/>
    <s v="&gt;350"/>
    <x v="2"/>
    <n v="230000"/>
    <n v="0.28000000000000003"/>
    <n v="0.4"/>
    <n v="294400"/>
    <n v="322000"/>
    <n v="27600"/>
    <n v="2573056000"/>
    <n v="2392138000"/>
    <n v="8740"/>
    <n v="7429"/>
    <n v="-1311"/>
    <n v="-180918000"/>
  </r>
  <r>
    <s v="Apr"/>
    <s v="Bajaj"/>
    <s v="Dominar 400"/>
    <n v="373"/>
    <s v="&gt;350"/>
    <x v="2"/>
    <n v="230000"/>
    <n v="0.28000000000000003"/>
    <n v="0.4"/>
    <n v="294400"/>
    <n v="322000"/>
    <n v="27600"/>
    <n v="2131750400"/>
    <n v="1981861699.9999998"/>
    <n v="7241"/>
    <n v="6154.8499999999995"/>
    <n v="-1086.1500000000005"/>
    <n v="-149888700.00000024"/>
  </r>
  <r>
    <s v="May"/>
    <s v="Bajaj"/>
    <s v="Dominar 400"/>
    <n v="373"/>
    <s v="&gt;350"/>
    <x v="2"/>
    <n v="230000"/>
    <n v="0.28000000000000003"/>
    <n v="0.4"/>
    <n v="294400"/>
    <n v="322000"/>
    <n v="27600"/>
    <n v="2568934400"/>
    <n v="2388306200"/>
    <n v="8726"/>
    <n v="7417.0999999999995"/>
    <n v="-1308.9000000000005"/>
    <n v="-180628200"/>
  </r>
  <r>
    <s v="Jun"/>
    <s v="Bajaj"/>
    <s v="Dominar 400"/>
    <n v="373"/>
    <s v="&gt;350"/>
    <x v="2"/>
    <n v="230000"/>
    <n v="0.28000000000000003"/>
    <n v="0.4"/>
    <n v="294400"/>
    <n v="322000"/>
    <n v="27600"/>
    <n v="1961881600"/>
    <n v="1823936800"/>
    <n v="6664"/>
    <n v="5664.4"/>
    <n v="-999.60000000000036"/>
    <n v="-137944800"/>
  </r>
  <r>
    <s v="Jul"/>
    <s v="Bajaj"/>
    <s v="Dominar 400"/>
    <n v="373"/>
    <s v="&gt;350"/>
    <x v="2"/>
    <n v="230000"/>
    <n v="0.28000000000000003"/>
    <n v="0.4"/>
    <n v="294400"/>
    <n v="322000"/>
    <n v="27600"/>
    <n v="1984256000"/>
    <n v="1844738000"/>
    <n v="6740"/>
    <n v="5729"/>
    <n v="-1011"/>
    <n v="-139518000"/>
  </r>
  <r>
    <s v="Aug"/>
    <s v="Bajaj"/>
    <s v="Dominar 400"/>
    <n v="373"/>
    <s v="&gt;350"/>
    <x v="2"/>
    <n v="230000"/>
    <n v="0.28000000000000003"/>
    <n v="0.4"/>
    <n v="294400"/>
    <n v="322000"/>
    <n v="27600"/>
    <n v="2241267200"/>
    <n v="2083678100"/>
    <n v="7613"/>
    <n v="6471.05"/>
    <n v="-1141.9499999999998"/>
    <n v="-157589100"/>
  </r>
  <r>
    <s v="Sep"/>
    <s v="Bajaj"/>
    <s v="Dominar 400"/>
    <n v="373"/>
    <s v="&gt;350"/>
    <x v="2"/>
    <n v="230000"/>
    <n v="0.28000000000000003"/>
    <n v="0.4"/>
    <n v="294400"/>
    <n v="322000"/>
    <n v="27600"/>
    <n v="1789068800"/>
    <n v="1663274900"/>
    <n v="6077"/>
    <n v="5165.45"/>
    <n v="-911.55000000000018"/>
    <n v="-125793900"/>
  </r>
  <r>
    <s v="Oct"/>
    <s v="Bajaj"/>
    <s v="Dominar 400"/>
    <n v="373"/>
    <s v="&gt;350"/>
    <x v="2"/>
    <n v="230000"/>
    <n v="0.28000000000000003"/>
    <n v="0.4"/>
    <n v="294400"/>
    <n v="322000"/>
    <n v="27600"/>
    <n v="1754035200"/>
    <n v="1630704600"/>
    <n v="5958"/>
    <n v="5064.3"/>
    <n v="-893.69999999999982"/>
    <n v="-123330600"/>
  </r>
  <r>
    <s v="Nov"/>
    <s v="Bajaj"/>
    <s v="Dominar 400"/>
    <n v="373"/>
    <s v="&gt;350"/>
    <x v="2"/>
    <n v="230000"/>
    <n v="0.28000000000000003"/>
    <n v="0.4"/>
    <n v="294400"/>
    <n v="322000"/>
    <n v="27600"/>
    <n v="2313984000"/>
    <n v="2151282000"/>
    <n v="7860"/>
    <n v="6681"/>
    <n v="-1179"/>
    <n v="-162702000"/>
  </r>
  <r>
    <s v="Dec"/>
    <s v="Bajaj"/>
    <s v="Dominar 400"/>
    <n v="373"/>
    <s v="&gt;350"/>
    <x v="2"/>
    <n v="230000"/>
    <n v="0.28000000000000003"/>
    <n v="0.4"/>
    <n v="294400"/>
    <n v="322000"/>
    <n v="27600"/>
    <n v="2263641600"/>
    <n v="2104479300"/>
    <n v="7689"/>
    <n v="6535.65"/>
    <n v="-1153.3500000000004"/>
    <n v="-159162300"/>
  </r>
  <r>
    <s v="Jan"/>
    <s v="Bajaj"/>
    <s v="Dominar 400"/>
    <n v="373"/>
    <s v="&gt;350"/>
    <x v="2"/>
    <n v="230000"/>
    <n v="0.28000000000000003"/>
    <n v="0.4"/>
    <n v="294400"/>
    <n v="322000"/>
    <n v="27600"/>
    <n v="2768243200"/>
    <n v="2573601100"/>
    <n v="9403"/>
    <n v="7992.55"/>
    <n v="-1410.4499999999998"/>
    <n v="-194642100"/>
  </r>
  <r>
    <s v="Feb"/>
    <s v="Bajaj"/>
    <s v="Dominar 400"/>
    <n v="373"/>
    <s v="&gt;350"/>
    <x v="2"/>
    <n v="230000"/>
    <n v="0.28000000000000003"/>
    <n v="0.4"/>
    <n v="294400"/>
    <n v="322000"/>
    <n v="27600"/>
    <n v="1893580800"/>
    <n v="1760438400"/>
    <n v="6432"/>
    <n v="5467.2"/>
    <n v="-964.80000000000018"/>
    <n v="-133142400"/>
  </r>
  <r>
    <s v="Mar"/>
    <s v="Bajaj"/>
    <s v="Dominar 400"/>
    <n v="373"/>
    <s v="&gt;350"/>
    <x v="2"/>
    <n v="230000"/>
    <n v="0.28000000000000003"/>
    <n v="0.4"/>
    <n v="294400"/>
    <n v="322000"/>
    <n v="27600"/>
    <n v="2265996800"/>
    <n v="2106668900"/>
    <n v="7697"/>
    <n v="6542.45"/>
    <n v="-1154.5500000000002"/>
    <n v="-159327900"/>
  </r>
  <r>
    <s v="Apr"/>
    <s v="Bajaj"/>
    <s v="Dominar 400"/>
    <n v="373"/>
    <s v="&gt;350"/>
    <x v="2"/>
    <n v="230000"/>
    <n v="0.28000000000000003"/>
    <n v="0.4"/>
    <n v="294400"/>
    <n v="322000"/>
    <n v="27600"/>
    <n v="2782963200"/>
    <n v="2587286100"/>
    <n v="9453"/>
    <n v="8035.05"/>
    <n v="-1417.9499999999998"/>
    <n v="-195677100"/>
  </r>
  <r>
    <s v="May"/>
    <s v="Bajaj"/>
    <s v="Dominar 400"/>
    <n v="373"/>
    <s v="&gt;350"/>
    <x v="2"/>
    <n v="230000"/>
    <n v="0.28000000000000003"/>
    <n v="0.4"/>
    <n v="294400"/>
    <n v="322000"/>
    <n v="27600"/>
    <n v="3298163200"/>
    <n v="3066261100"/>
    <n v="11203"/>
    <n v="9522.5499999999993"/>
    <n v="-1680.4500000000007"/>
    <n v="-231902100"/>
  </r>
  <r>
    <s v="Jun"/>
    <s v="Bajaj"/>
    <s v="Dominar 400"/>
    <n v="373"/>
    <s v="&gt;350"/>
    <x v="2"/>
    <n v="230000"/>
    <n v="0.28000000000000003"/>
    <n v="0.4"/>
    <n v="294400"/>
    <n v="322000"/>
    <n v="27600"/>
    <n v="2047846400"/>
    <n v="1903857199.9999998"/>
    <n v="6956"/>
    <n v="5912.5999999999995"/>
    <n v="-1043.4000000000005"/>
    <n v="-143989200.00000024"/>
  </r>
  <r>
    <s v="Jul"/>
    <s v="Bajaj"/>
    <s v="Dominar 400"/>
    <n v="373"/>
    <s v="&gt;350"/>
    <x v="2"/>
    <n v="230000"/>
    <n v="0.28000000000000003"/>
    <n v="0.4"/>
    <n v="294400"/>
    <n v="322000"/>
    <n v="27600"/>
    <n v="2278067200"/>
    <n v="2117890600"/>
    <n v="7738"/>
    <n v="6577.3"/>
    <n v="-1160.6999999999998"/>
    <n v="-160176600"/>
  </r>
  <r>
    <s v="Aug"/>
    <s v="Bajaj"/>
    <s v="Dominar 400"/>
    <n v="373"/>
    <s v="&gt;350"/>
    <x v="2"/>
    <n v="230000"/>
    <n v="0.28000000000000003"/>
    <n v="0.4"/>
    <n v="294400"/>
    <n v="322000"/>
    <n v="27600"/>
    <n v="1997504000"/>
    <n v="1857054500"/>
    <n v="6785"/>
    <n v="5767.25"/>
    <n v="-1017.75"/>
    <n v="-140449500"/>
  </r>
  <r>
    <s v="Sep"/>
    <s v="Bajaj"/>
    <s v="Dominar 400"/>
    <n v="373"/>
    <s v="&gt;350"/>
    <x v="2"/>
    <n v="230000"/>
    <n v="0.28000000000000003"/>
    <n v="0.4"/>
    <n v="294400"/>
    <n v="322000"/>
    <n v="27600"/>
    <n v="2136166400"/>
    <n v="1985967199.9999998"/>
    <n v="7256"/>
    <n v="6167.5999999999995"/>
    <n v="-1088.4000000000005"/>
    <n v="-150199200.00000024"/>
  </r>
  <r>
    <s v="Jan"/>
    <s v="Bajaj"/>
    <s v="Pulsar N400"/>
    <n v="373"/>
    <s v="&gt;350"/>
    <x v="2"/>
    <n v="240000"/>
    <n v="0.28000000000000003"/>
    <n v="0.4"/>
    <n v="307200"/>
    <n v="336000"/>
    <n v="28800"/>
    <n v="2024140800"/>
    <n v="1881818399.9999998"/>
    <n v="6589"/>
    <n v="5600.65"/>
    <n v="-988.35000000000036"/>
    <n v="-142322400.00000024"/>
  </r>
  <r>
    <s v="Feb"/>
    <s v="Bajaj"/>
    <s v="Pulsar N400"/>
    <n v="373"/>
    <s v="&gt;350"/>
    <x v="2"/>
    <n v="240000"/>
    <n v="0.28000000000000003"/>
    <n v="0.4"/>
    <n v="307200"/>
    <n v="336000"/>
    <n v="28800"/>
    <n v="2004480000"/>
    <n v="1863540000"/>
    <n v="6525"/>
    <n v="5546.25"/>
    <n v="-978.75"/>
    <n v="-140940000"/>
  </r>
  <r>
    <s v="Mar"/>
    <s v="Bajaj"/>
    <s v="Pulsar N400"/>
    <n v="373"/>
    <s v="&gt;350"/>
    <x v="2"/>
    <n v="240000"/>
    <n v="0.28000000000000003"/>
    <n v="0.4"/>
    <n v="307200"/>
    <n v="336000"/>
    <n v="28800"/>
    <n v="1857024000"/>
    <n v="1726452000"/>
    <n v="6045"/>
    <n v="5138.25"/>
    <n v="-906.75"/>
    <n v="-130572000"/>
  </r>
  <r>
    <s v="Apr"/>
    <s v="Bajaj"/>
    <s v="Pulsar N400"/>
    <n v="373"/>
    <s v="&gt;350"/>
    <x v="2"/>
    <n v="240000"/>
    <n v="0.28000000000000003"/>
    <n v="0.4"/>
    <n v="307200"/>
    <n v="336000"/>
    <n v="28800"/>
    <n v="2058854400"/>
    <n v="1914091200"/>
    <n v="6702"/>
    <n v="5696.7"/>
    <n v="-1005.3000000000002"/>
    <n v="-144763200"/>
  </r>
  <r>
    <s v="May"/>
    <s v="Bajaj"/>
    <s v="Pulsar N400"/>
    <n v="373"/>
    <s v="&gt;350"/>
    <x v="2"/>
    <n v="240000"/>
    <n v="0.28000000000000003"/>
    <n v="0.4"/>
    <n v="307200"/>
    <n v="336000"/>
    <n v="28800"/>
    <n v="2363904000"/>
    <n v="2197692000"/>
    <n v="7695"/>
    <n v="6540.75"/>
    <n v="-1154.25"/>
    <n v="-166212000"/>
  </r>
  <r>
    <s v="Jun"/>
    <s v="Bajaj"/>
    <s v="Pulsar N400"/>
    <n v="373"/>
    <s v="&gt;350"/>
    <x v="2"/>
    <n v="240000"/>
    <n v="0.28000000000000003"/>
    <n v="0.4"/>
    <n v="307200"/>
    <n v="336000"/>
    <n v="28800"/>
    <n v="1732608000"/>
    <n v="1610784000"/>
    <n v="5640"/>
    <n v="4794"/>
    <n v="-846"/>
    <n v="-121824000"/>
  </r>
  <r>
    <s v="Jul"/>
    <s v="Bajaj"/>
    <s v="Pulsar N400"/>
    <n v="373"/>
    <s v="&gt;350"/>
    <x v="2"/>
    <n v="240000"/>
    <n v="0.28000000000000003"/>
    <n v="0.4"/>
    <n v="307200"/>
    <n v="336000"/>
    <n v="28800"/>
    <n v="1426636800"/>
    <n v="1326326400"/>
    <n v="4644"/>
    <n v="3947.4"/>
    <n v="-696.59999999999991"/>
    <n v="-100310400"/>
  </r>
  <r>
    <s v="Aug"/>
    <s v="Bajaj"/>
    <s v="Pulsar N400"/>
    <n v="373"/>
    <s v="&gt;350"/>
    <x v="2"/>
    <n v="240000"/>
    <n v="0.28000000000000003"/>
    <n v="0.4"/>
    <n v="307200"/>
    <n v="336000"/>
    <n v="28800"/>
    <n v="2001408000"/>
    <n v="1860684000"/>
    <n v="6515"/>
    <n v="5537.75"/>
    <n v="-977.25"/>
    <n v="-140724000"/>
  </r>
  <r>
    <s v="Sep"/>
    <s v="Bajaj"/>
    <s v="Pulsar N400"/>
    <n v="373"/>
    <s v="&gt;350"/>
    <x v="2"/>
    <n v="240000"/>
    <n v="0.28000000000000003"/>
    <n v="0.4"/>
    <n v="307200"/>
    <n v="336000"/>
    <n v="28800"/>
    <n v="1373184000"/>
    <n v="1276632000"/>
    <n v="4470"/>
    <n v="3799.5"/>
    <n v="-670.5"/>
    <n v="-96552000"/>
  </r>
  <r>
    <s v="Oct"/>
    <s v="Bajaj"/>
    <s v="Pulsar N400"/>
    <n v="373"/>
    <s v="&gt;350"/>
    <x v="2"/>
    <n v="240000"/>
    <n v="0.28000000000000003"/>
    <n v="0.4"/>
    <n v="307200"/>
    <n v="336000"/>
    <n v="28800"/>
    <n v="1708339200"/>
    <n v="1588221599.9999998"/>
    <n v="5561"/>
    <n v="4726.8499999999995"/>
    <n v="-834.15000000000055"/>
    <n v="-120117600.00000024"/>
  </r>
  <r>
    <s v="Nov"/>
    <s v="Bajaj"/>
    <s v="Pulsar N400"/>
    <n v="373"/>
    <s v="&gt;350"/>
    <x v="2"/>
    <n v="240000"/>
    <n v="0.28000000000000003"/>
    <n v="0.4"/>
    <n v="307200"/>
    <n v="336000"/>
    <n v="28800"/>
    <n v="1781452800"/>
    <n v="1656194399.9999998"/>
    <n v="5799"/>
    <n v="4929.1499999999996"/>
    <n v="-869.85000000000036"/>
    <n v="-125258400.00000024"/>
  </r>
  <r>
    <s v="Dec"/>
    <s v="Bajaj"/>
    <s v="Pulsar N400"/>
    <n v="373"/>
    <s v="&gt;350"/>
    <x v="2"/>
    <n v="240000"/>
    <n v="0.28000000000000003"/>
    <n v="0.4"/>
    <n v="307200"/>
    <n v="336000"/>
    <n v="28800"/>
    <n v="1462886400"/>
    <n v="1360027200"/>
    <n v="4762"/>
    <n v="4047.7"/>
    <n v="-714.30000000000018"/>
    <n v="-102859200"/>
  </r>
  <r>
    <s v="Jan"/>
    <s v="Bajaj"/>
    <s v="Pulsar N400"/>
    <n v="373"/>
    <s v="&gt;350"/>
    <x v="2"/>
    <n v="240000"/>
    <n v="0.28000000000000003"/>
    <n v="0.4"/>
    <n v="307200"/>
    <n v="336000"/>
    <n v="28800"/>
    <n v="2009088000"/>
    <n v="1867824000"/>
    <n v="6540"/>
    <n v="5559"/>
    <n v="-981"/>
    <n v="-141264000"/>
  </r>
  <r>
    <s v="Feb"/>
    <s v="Bajaj"/>
    <s v="Pulsar N400"/>
    <n v="373"/>
    <s v="&gt;350"/>
    <x v="2"/>
    <n v="240000"/>
    <n v="0.28000000000000003"/>
    <n v="0.4"/>
    <n v="307200"/>
    <n v="336000"/>
    <n v="28800"/>
    <n v="2256691200"/>
    <n v="2098017599.9999998"/>
    <n v="7346"/>
    <n v="6244.0999999999995"/>
    <n v="-1101.9000000000005"/>
    <n v="-158673600.00000024"/>
  </r>
  <r>
    <s v="Mar"/>
    <s v="Bajaj"/>
    <s v="Pulsar N400"/>
    <n v="373"/>
    <s v="&gt;350"/>
    <x v="2"/>
    <n v="240000"/>
    <n v="0.28000000000000003"/>
    <n v="0.4"/>
    <n v="307200"/>
    <n v="336000"/>
    <n v="28800"/>
    <n v="2283724800"/>
    <n v="2123150399.9999998"/>
    <n v="7434"/>
    <n v="6318.9"/>
    <n v="-1115.1000000000004"/>
    <n v="-160574400.00000024"/>
  </r>
  <r>
    <s v="Apr"/>
    <s v="Bajaj"/>
    <s v="Pulsar N400"/>
    <n v="373"/>
    <s v="&gt;350"/>
    <x v="2"/>
    <n v="240000"/>
    <n v="0.28000000000000003"/>
    <n v="0.4"/>
    <n v="307200"/>
    <n v="336000"/>
    <n v="28800"/>
    <n v="1981440000"/>
    <n v="1842120000"/>
    <n v="6450"/>
    <n v="5482.5"/>
    <n v="-967.5"/>
    <n v="-139320000"/>
  </r>
  <r>
    <s v="May"/>
    <s v="Bajaj"/>
    <s v="Pulsar N400"/>
    <n v="373"/>
    <s v="&gt;350"/>
    <x v="2"/>
    <n v="240000"/>
    <n v="0.28000000000000003"/>
    <n v="0.4"/>
    <n v="307200"/>
    <n v="336000"/>
    <n v="28800"/>
    <n v="2414899200"/>
    <n v="2245101600"/>
    <n v="7861"/>
    <n v="6681.8499999999995"/>
    <n v="-1179.1500000000005"/>
    <n v="-169797600"/>
  </r>
  <r>
    <s v="Jun"/>
    <s v="Bajaj"/>
    <s v="Pulsar N400"/>
    <n v="373"/>
    <s v="&gt;350"/>
    <x v="2"/>
    <n v="240000"/>
    <n v="0.28000000000000003"/>
    <n v="0.4"/>
    <n v="307200"/>
    <n v="336000"/>
    <n v="28800"/>
    <n v="1740902400"/>
    <n v="1618495200"/>
    <n v="5667"/>
    <n v="4816.95"/>
    <n v="-850.05000000000018"/>
    <n v="-122407200"/>
  </r>
  <r>
    <s v="Jul"/>
    <s v="Bajaj"/>
    <s v="Pulsar N400"/>
    <n v="373"/>
    <s v="&gt;350"/>
    <x v="2"/>
    <n v="240000"/>
    <n v="0.28000000000000003"/>
    <n v="0.4"/>
    <n v="307200"/>
    <n v="336000"/>
    <n v="28800"/>
    <n v="1732300800"/>
    <n v="1610498399.9999998"/>
    <n v="5639"/>
    <n v="4793.1499999999996"/>
    <n v="-845.85000000000036"/>
    <n v="-121802400.00000024"/>
  </r>
  <r>
    <s v="Aug"/>
    <s v="Bajaj"/>
    <s v="Pulsar N400"/>
    <n v="373"/>
    <s v="&gt;350"/>
    <x v="2"/>
    <n v="240000"/>
    <n v="0.28000000000000003"/>
    <n v="0.4"/>
    <n v="307200"/>
    <n v="336000"/>
    <n v="28800"/>
    <n v="1612185600"/>
    <n v="1498828800"/>
    <n v="5248"/>
    <n v="4460.8"/>
    <n v="-787.19999999999982"/>
    <n v="-113356800"/>
  </r>
  <r>
    <s v="Sep"/>
    <s v="Bajaj"/>
    <s v="Pulsar N400"/>
    <n v="373"/>
    <s v="&gt;350"/>
    <x v="2"/>
    <n v="240000"/>
    <n v="0.28000000000000003"/>
    <n v="0.4"/>
    <n v="307200"/>
    <n v="336000"/>
    <n v="28800"/>
    <n v="1512038400"/>
    <n v="1405723200"/>
    <n v="4922"/>
    <n v="4183.7"/>
    <n v="-738.30000000000018"/>
    <n v="-106315200"/>
  </r>
  <r>
    <s v="Oct"/>
    <s v="Bajaj"/>
    <s v="Pulsar N400"/>
    <n v="373"/>
    <s v="&gt;350"/>
    <x v="2"/>
    <n v="240000"/>
    <n v="0.28000000000000003"/>
    <n v="0.4"/>
    <n v="307200"/>
    <n v="336000"/>
    <n v="28800"/>
    <n v="1606348800"/>
    <n v="1493402399.9999998"/>
    <n v="5229"/>
    <n v="4444.6499999999996"/>
    <n v="-784.35000000000036"/>
    <n v="-112946400.00000024"/>
  </r>
  <r>
    <s v="Nov"/>
    <s v="Bajaj"/>
    <s v="Pulsar N400"/>
    <n v="373"/>
    <s v="&gt;350"/>
    <x v="2"/>
    <n v="240000"/>
    <n v="0.28000000000000003"/>
    <n v="0.4"/>
    <n v="307200"/>
    <n v="336000"/>
    <n v="28800"/>
    <n v="1900953600"/>
    <n v="1767292800"/>
    <n v="6188"/>
    <n v="5259.8"/>
    <n v="-928.19999999999982"/>
    <n v="-133660800"/>
  </r>
  <r>
    <s v="Dec"/>
    <s v="Bajaj"/>
    <s v="Pulsar N400"/>
    <n v="373"/>
    <s v="&gt;350"/>
    <x v="2"/>
    <n v="240000"/>
    <n v="0.28000000000000003"/>
    <n v="0.4"/>
    <n v="307200"/>
    <n v="336000"/>
    <n v="28800"/>
    <n v="2035507200"/>
    <n v="1892385599.9999998"/>
    <n v="6626"/>
    <n v="5632.0999999999995"/>
    <n v="-993.90000000000055"/>
    <n v="-143121600.00000024"/>
  </r>
  <r>
    <s v="Jan"/>
    <s v="Bajaj"/>
    <s v="Pulsar N400"/>
    <n v="373"/>
    <s v="&gt;350"/>
    <x v="2"/>
    <n v="240000"/>
    <n v="0.28000000000000003"/>
    <n v="0.4"/>
    <n v="307200"/>
    <n v="336000"/>
    <n v="28800"/>
    <n v="1844736000"/>
    <n v="1715028000"/>
    <n v="6005"/>
    <n v="5104.25"/>
    <n v="-900.75"/>
    <n v="-129708000"/>
  </r>
  <r>
    <s v="Feb"/>
    <s v="Bajaj"/>
    <s v="Pulsar N400"/>
    <n v="373"/>
    <s v="&gt;350"/>
    <x v="2"/>
    <n v="240000"/>
    <n v="0.28000000000000003"/>
    <n v="0.4"/>
    <n v="307200"/>
    <n v="336000"/>
    <n v="28800"/>
    <n v="2172825600"/>
    <n v="2020048800"/>
    <n v="7073"/>
    <n v="6012.05"/>
    <n v="-1060.9499999999998"/>
    <n v="-152776800"/>
  </r>
  <r>
    <s v="Mar"/>
    <s v="Bajaj"/>
    <s v="Pulsar N400"/>
    <n v="373"/>
    <s v="&gt;350"/>
    <x v="2"/>
    <n v="240000"/>
    <n v="0.28000000000000003"/>
    <n v="0.4"/>
    <n v="307200"/>
    <n v="336000"/>
    <n v="28800"/>
    <n v="1866240000"/>
    <n v="1735020000"/>
    <n v="6075"/>
    <n v="5163.75"/>
    <n v="-911.25"/>
    <n v="-131220000"/>
  </r>
  <r>
    <s v="Apr"/>
    <s v="Bajaj"/>
    <s v="Pulsar N400"/>
    <n v="373"/>
    <s v="&gt;350"/>
    <x v="2"/>
    <n v="240000"/>
    <n v="0.28000000000000003"/>
    <n v="0.4"/>
    <n v="307200"/>
    <n v="336000"/>
    <n v="28800"/>
    <n v="2170675200"/>
    <n v="2018049599.9999998"/>
    <n v="7066"/>
    <n v="6006.0999999999995"/>
    <n v="-1059.9000000000005"/>
    <n v="-152625600.00000024"/>
  </r>
  <r>
    <s v="May"/>
    <s v="Bajaj"/>
    <s v="Pulsar N400"/>
    <n v="373"/>
    <s v="&gt;350"/>
    <x v="2"/>
    <n v="240000"/>
    <n v="0.28000000000000003"/>
    <n v="0.4"/>
    <n v="307200"/>
    <n v="336000"/>
    <n v="28800"/>
    <n v="2111385600"/>
    <n v="1962928800"/>
    <n v="6873"/>
    <n v="5842.05"/>
    <n v="-1030.9499999999998"/>
    <n v="-148456800"/>
  </r>
  <r>
    <s v="Jun"/>
    <s v="Bajaj"/>
    <s v="Pulsar N400"/>
    <n v="373"/>
    <s v="&gt;350"/>
    <x v="2"/>
    <n v="240000"/>
    <n v="0.28000000000000003"/>
    <n v="0.4"/>
    <n v="307200"/>
    <n v="336000"/>
    <n v="28800"/>
    <n v="1810636800"/>
    <n v="1683326399.9999998"/>
    <n v="5894"/>
    <n v="5009.8999999999996"/>
    <n v="-884.10000000000036"/>
    <n v="-127310400.00000024"/>
  </r>
  <r>
    <s v="Jul"/>
    <s v="Bajaj"/>
    <s v="Pulsar N400"/>
    <n v="373"/>
    <s v="&gt;350"/>
    <x v="2"/>
    <n v="240000"/>
    <n v="0.28000000000000003"/>
    <n v="0.4"/>
    <n v="307200"/>
    <n v="336000"/>
    <n v="28800"/>
    <n v="1647513600"/>
    <n v="1531672800"/>
    <n v="5363"/>
    <n v="4558.55"/>
    <n v="-804.44999999999982"/>
    <n v="-115840800"/>
  </r>
  <r>
    <s v="Aug"/>
    <s v="Bajaj"/>
    <s v="Pulsar N400"/>
    <n v="373"/>
    <s v="&gt;350"/>
    <x v="2"/>
    <n v="240000"/>
    <n v="0.28000000000000003"/>
    <n v="0.4"/>
    <n v="307200"/>
    <n v="336000"/>
    <n v="28800"/>
    <n v="1652736000"/>
    <n v="1536528000"/>
    <n v="5380"/>
    <n v="4573"/>
    <n v="-807"/>
    <n v="-116208000"/>
  </r>
  <r>
    <s v="Sep"/>
    <s v="Bajaj"/>
    <s v="Pulsar N400"/>
    <n v="373"/>
    <s v="&gt;350"/>
    <x v="2"/>
    <n v="240000"/>
    <n v="0.28000000000000003"/>
    <n v="0.4"/>
    <n v="307200"/>
    <n v="336000"/>
    <n v="28800"/>
    <n v="1607884800"/>
    <n v="1494830399.9999998"/>
    <n v="5234"/>
    <n v="4448.8999999999996"/>
    <n v="-785.10000000000036"/>
    <n v="-113054400.00000024"/>
  </r>
  <r>
    <s v="Jan"/>
    <s v="Bajaj"/>
    <s v="Pulsar NS400"/>
    <n v="373"/>
    <s v="&gt;350"/>
    <x v="2"/>
    <n v="245000"/>
    <n v="0.28000000000000003"/>
    <n v="0.4"/>
    <n v="313600"/>
    <n v="343000"/>
    <n v="29400"/>
    <n v="1706611200"/>
    <n v="1586615100"/>
    <n v="5442"/>
    <n v="4625.7"/>
    <n v="-816.30000000000018"/>
    <n v="-119996100"/>
  </r>
  <r>
    <s v="Feb"/>
    <s v="Bajaj"/>
    <s v="Pulsar NS400"/>
    <n v="373"/>
    <s v="&gt;350"/>
    <x v="2"/>
    <n v="245000"/>
    <n v="0.28000000000000003"/>
    <n v="0.4"/>
    <n v="313600"/>
    <n v="343000"/>
    <n v="29400"/>
    <n v="1514688000"/>
    <n v="1408186500"/>
    <n v="4830"/>
    <n v="4105.5"/>
    <n v="-724.5"/>
    <n v="-106501500"/>
  </r>
  <r>
    <s v="Mar"/>
    <s v="Bajaj"/>
    <s v="Pulsar NS400"/>
    <n v="373"/>
    <s v="&gt;350"/>
    <x v="2"/>
    <n v="245000"/>
    <n v="0.28000000000000003"/>
    <n v="0.4"/>
    <n v="313600"/>
    <n v="343000"/>
    <n v="29400"/>
    <n v="1705356800"/>
    <n v="1585448900"/>
    <n v="5438"/>
    <n v="4622.3"/>
    <n v="-815.69999999999982"/>
    <n v="-119907900"/>
  </r>
  <r>
    <s v="Apr"/>
    <s v="Bajaj"/>
    <s v="Pulsar NS400"/>
    <n v="373"/>
    <s v="&gt;350"/>
    <x v="2"/>
    <n v="245000"/>
    <n v="0.28000000000000003"/>
    <n v="0.4"/>
    <n v="313600"/>
    <n v="343000"/>
    <n v="29400"/>
    <n v="1887558400"/>
    <n v="1754839449.9999998"/>
    <n v="6019"/>
    <n v="5116.1499999999996"/>
    <n v="-902.85000000000036"/>
    <n v="-132718950.00000024"/>
  </r>
  <r>
    <s v="May"/>
    <s v="Bajaj"/>
    <s v="Pulsar NS400"/>
    <n v="373"/>
    <s v="&gt;350"/>
    <x v="2"/>
    <n v="245000"/>
    <n v="0.28000000000000003"/>
    <n v="0.4"/>
    <n v="313600"/>
    <n v="343000"/>
    <n v="29400"/>
    <n v="1814803200"/>
    <n v="1687199850"/>
    <n v="5787"/>
    <n v="4918.95"/>
    <n v="-868.05000000000018"/>
    <n v="-127603350"/>
  </r>
  <r>
    <s v="Jun"/>
    <s v="Bajaj"/>
    <s v="Pulsar NS400"/>
    <n v="373"/>
    <s v="&gt;350"/>
    <x v="2"/>
    <n v="245000"/>
    <n v="0.28000000000000003"/>
    <n v="0.4"/>
    <n v="313600"/>
    <n v="343000"/>
    <n v="29400"/>
    <n v="1804140800"/>
    <n v="1677287150"/>
    <n v="5753"/>
    <n v="4890.05"/>
    <n v="-862.94999999999982"/>
    <n v="-126853650"/>
  </r>
  <r>
    <s v="Jul"/>
    <s v="Bajaj"/>
    <s v="Pulsar NS400"/>
    <n v="373"/>
    <s v="&gt;350"/>
    <x v="2"/>
    <n v="245000"/>
    <n v="0.28000000000000003"/>
    <n v="0.4"/>
    <n v="313600"/>
    <n v="343000"/>
    <n v="29400"/>
    <n v="1463571200"/>
    <n v="1360663850"/>
    <n v="4667"/>
    <n v="3966.95"/>
    <n v="-700.05000000000018"/>
    <n v="-102907350"/>
  </r>
  <r>
    <s v="Aug"/>
    <s v="Bajaj"/>
    <s v="Pulsar NS400"/>
    <n v="373"/>
    <s v="&gt;350"/>
    <x v="2"/>
    <n v="245000"/>
    <n v="0.28000000000000003"/>
    <n v="0.4"/>
    <n v="313600"/>
    <n v="343000"/>
    <n v="29400"/>
    <n v="1468588800"/>
    <n v="1365328650"/>
    <n v="4683"/>
    <n v="3980.5499999999997"/>
    <n v="-702.45000000000027"/>
    <n v="-103260150"/>
  </r>
  <r>
    <s v="Sep"/>
    <s v="Bajaj"/>
    <s v="Pulsar NS400"/>
    <n v="373"/>
    <s v="&gt;350"/>
    <x v="2"/>
    <n v="245000"/>
    <n v="0.28000000000000003"/>
    <n v="0.4"/>
    <n v="313600"/>
    <n v="343000"/>
    <n v="29400"/>
    <n v="1229625600"/>
    <n v="1143167550"/>
    <n v="3921"/>
    <n v="3332.85"/>
    <n v="-588.15000000000009"/>
    <n v="-86458050"/>
  </r>
  <r>
    <s v="Oct"/>
    <s v="Bajaj"/>
    <s v="Pulsar NS400"/>
    <n v="373"/>
    <s v="&gt;350"/>
    <x v="2"/>
    <n v="245000"/>
    <n v="0.28000000000000003"/>
    <n v="0.4"/>
    <n v="313600"/>
    <n v="343000"/>
    <n v="29400"/>
    <n v="1173491200"/>
    <n v="1090980100"/>
    <n v="3742"/>
    <n v="3180.7"/>
    <n v="-561.30000000000018"/>
    <n v="-82511100"/>
  </r>
  <r>
    <s v="Nov"/>
    <s v="Bajaj"/>
    <s v="Pulsar NS400"/>
    <n v="373"/>
    <s v="&gt;350"/>
    <x v="2"/>
    <n v="245000"/>
    <n v="0.28000000000000003"/>
    <n v="0.4"/>
    <n v="313600"/>
    <n v="343000"/>
    <n v="29400"/>
    <n v="1278233600"/>
    <n v="1188357800"/>
    <n v="4076"/>
    <n v="3464.6"/>
    <n v="-611.40000000000009"/>
    <n v="-89875800"/>
  </r>
  <r>
    <s v="Dec"/>
    <s v="Bajaj"/>
    <s v="Pulsar NS400"/>
    <n v="373"/>
    <s v="&gt;350"/>
    <x v="2"/>
    <n v="245000"/>
    <n v="0.28000000000000003"/>
    <n v="0.4"/>
    <n v="313600"/>
    <n v="343000"/>
    <n v="29400"/>
    <n v="1617862400"/>
    <n v="1504106449.9999998"/>
    <n v="5159"/>
    <n v="4385.1499999999996"/>
    <n v="-773.85000000000036"/>
    <n v="-113755950.00000024"/>
  </r>
  <r>
    <s v="Jan"/>
    <s v="Bajaj"/>
    <s v="Pulsar NS400"/>
    <n v="373"/>
    <s v="&gt;350"/>
    <x v="2"/>
    <n v="245000"/>
    <n v="0.28000000000000003"/>
    <n v="0.4"/>
    <n v="313600"/>
    <n v="343000"/>
    <n v="29400"/>
    <n v="1976307200"/>
    <n v="1837348100"/>
    <n v="6302"/>
    <n v="5356.7"/>
    <n v="-945.30000000000018"/>
    <n v="-138959100"/>
  </r>
  <r>
    <s v="Feb"/>
    <s v="Bajaj"/>
    <s v="Pulsar NS400"/>
    <n v="373"/>
    <s v="&gt;350"/>
    <x v="2"/>
    <n v="245000"/>
    <n v="0.28000000000000003"/>
    <n v="0.4"/>
    <n v="313600"/>
    <n v="343000"/>
    <n v="29400"/>
    <n v="1674624000"/>
    <n v="1556877000"/>
    <n v="5340"/>
    <n v="4539"/>
    <n v="-801"/>
    <n v="-117747000"/>
  </r>
  <r>
    <s v="Mar"/>
    <s v="Bajaj"/>
    <s v="Pulsar NS400"/>
    <n v="373"/>
    <s v="&gt;350"/>
    <x v="2"/>
    <n v="245000"/>
    <n v="0.28000000000000003"/>
    <n v="0.4"/>
    <n v="313600"/>
    <n v="343000"/>
    <n v="29400"/>
    <n v="1901670400"/>
    <n v="1767959199.9999998"/>
    <n v="6064"/>
    <n v="5154.3999999999996"/>
    <n v="-909.60000000000036"/>
    <n v="-133711200.00000024"/>
  </r>
  <r>
    <s v="Apr"/>
    <s v="Bajaj"/>
    <s v="Pulsar NS400"/>
    <n v="373"/>
    <s v="&gt;350"/>
    <x v="2"/>
    <n v="245000"/>
    <n v="0.28000000000000003"/>
    <n v="0.4"/>
    <n v="313600"/>
    <n v="343000"/>
    <n v="29400"/>
    <n v="1788147200"/>
    <n v="1662418100"/>
    <n v="5702"/>
    <n v="4846.7"/>
    <n v="-855.30000000000018"/>
    <n v="-125729100"/>
  </r>
  <r>
    <s v="May"/>
    <s v="Bajaj"/>
    <s v="Pulsar NS400"/>
    <n v="373"/>
    <s v="&gt;350"/>
    <x v="2"/>
    <n v="245000"/>
    <n v="0.28000000000000003"/>
    <n v="0.4"/>
    <n v="313600"/>
    <n v="343000"/>
    <n v="29400"/>
    <n v="1626329600"/>
    <n v="1511978299.9999998"/>
    <n v="5186"/>
    <n v="4408.0999999999995"/>
    <n v="-777.90000000000055"/>
    <n v="-114351300.00000024"/>
  </r>
  <r>
    <s v="Jun"/>
    <s v="Bajaj"/>
    <s v="Pulsar NS400"/>
    <n v="373"/>
    <s v="&gt;350"/>
    <x v="2"/>
    <n v="245000"/>
    <n v="0.28000000000000003"/>
    <n v="0.4"/>
    <n v="313600"/>
    <n v="343000"/>
    <n v="29400"/>
    <n v="1518137600"/>
    <n v="1411393549.9999998"/>
    <n v="4841"/>
    <n v="4114.8499999999995"/>
    <n v="-726.15000000000055"/>
    <n v="-106744050.00000024"/>
  </r>
  <r>
    <s v="Jul"/>
    <s v="Bajaj"/>
    <s v="Pulsar NS400"/>
    <n v="373"/>
    <s v="&gt;350"/>
    <x v="2"/>
    <n v="245000"/>
    <n v="0.28000000000000003"/>
    <n v="0.4"/>
    <n v="313600"/>
    <n v="343000"/>
    <n v="29400"/>
    <n v="1316492800"/>
    <n v="1223926900"/>
    <n v="4198"/>
    <n v="3568.2999999999997"/>
    <n v="-629.70000000000027"/>
    <n v="-92565900"/>
  </r>
  <r>
    <s v="Aug"/>
    <s v="Bajaj"/>
    <s v="Pulsar NS400"/>
    <n v="373"/>
    <s v="&gt;350"/>
    <x v="2"/>
    <n v="245000"/>
    <n v="0.28000000000000003"/>
    <n v="0.4"/>
    <n v="313600"/>
    <n v="343000"/>
    <n v="29400"/>
    <n v="1290150400"/>
    <n v="1199436700"/>
    <n v="4114"/>
    <n v="3496.9"/>
    <n v="-617.09999999999991"/>
    <n v="-90713700"/>
  </r>
  <r>
    <s v="Sep"/>
    <s v="Bajaj"/>
    <s v="Pulsar NS400"/>
    <n v="373"/>
    <s v="&gt;350"/>
    <x v="2"/>
    <n v="245000"/>
    <n v="0.28000000000000003"/>
    <n v="0.4"/>
    <n v="313600"/>
    <n v="343000"/>
    <n v="29400"/>
    <n v="1261299200"/>
    <n v="1172614100"/>
    <n v="4022"/>
    <n v="3418.7"/>
    <n v="-603.30000000000018"/>
    <n v="-88685100"/>
  </r>
  <r>
    <s v="Oct"/>
    <s v="Bajaj"/>
    <s v="Pulsar NS400"/>
    <n v="373"/>
    <s v="&gt;350"/>
    <x v="2"/>
    <n v="245000"/>
    <n v="0.28000000000000003"/>
    <n v="0.4"/>
    <n v="313600"/>
    <n v="343000"/>
    <n v="29400"/>
    <n v="1345971200"/>
    <n v="1251332600"/>
    <n v="4292"/>
    <n v="3648.2"/>
    <n v="-643.80000000000018"/>
    <n v="-94638600"/>
  </r>
  <r>
    <s v="Nov"/>
    <s v="Bajaj"/>
    <s v="Pulsar NS400"/>
    <n v="373"/>
    <s v="&gt;350"/>
    <x v="2"/>
    <n v="245000"/>
    <n v="0.28000000000000003"/>
    <n v="0.4"/>
    <n v="313600"/>
    <n v="343000"/>
    <n v="29400"/>
    <n v="1358828800"/>
    <n v="1263286150"/>
    <n v="4333"/>
    <n v="3683.0499999999997"/>
    <n v="-649.95000000000027"/>
    <n v="-95542650"/>
  </r>
  <r>
    <s v="Dec"/>
    <s v="Bajaj"/>
    <s v="Pulsar NS400"/>
    <n v="373"/>
    <s v="&gt;350"/>
    <x v="2"/>
    <n v="245000"/>
    <n v="0.28000000000000003"/>
    <n v="0.4"/>
    <n v="313600"/>
    <n v="343000"/>
    <n v="29400"/>
    <n v="1463257600"/>
    <n v="1360372300"/>
    <n v="4666"/>
    <n v="3966.1"/>
    <n v="-699.90000000000009"/>
    <n v="-102885300"/>
  </r>
  <r>
    <s v="Jan"/>
    <s v="Bajaj"/>
    <s v="Pulsar NS400"/>
    <n v="373"/>
    <s v="&gt;350"/>
    <x v="2"/>
    <n v="245000"/>
    <n v="0.28000000000000003"/>
    <n v="0.4"/>
    <n v="313600"/>
    <n v="343000"/>
    <n v="29400"/>
    <n v="1648595200"/>
    <n v="1532678350"/>
    <n v="5257"/>
    <n v="4468.45"/>
    <n v="-788.55000000000018"/>
    <n v="-115916850"/>
  </r>
  <r>
    <s v="Feb"/>
    <s v="Bajaj"/>
    <s v="Pulsar NS400"/>
    <n v="373"/>
    <s v="&gt;350"/>
    <x v="2"/>
    <n v="245000"/>
    <n v="0.28000000000000003"/>
    <n v="0.4"/>
    <n v="313600"/>
    <n v="343000"/>
    <n v="29400"/>
    <n v="1753651200"/>
    <n v="1630347600"/>
    <n v="5592"/>
    <n v="4753.2"/>
    <n v="-838.80000000000018"/>
    <n v="-123303600"/>
  </r>
  <r>
    <s v="Mar"/>
    <s v="Bajaj"/>
    <s v="Pulsar NS400"/>
    <n v="373"/>
    <s v="&gt;350"/>
    <x v="2"/>
    <n v="245000"/>
    <n v="0.28000000000000003"/>
    <n v="0.4"/>
    <n v="313600"/>
    <n v="343000"/>
    <n v="29400"/>
    <n v="1790342400"/>
    <n v="1664458949.9999998"/>
    <n v="5709"/>
    <n v="4852.6499999999996"/>
    <n v="-856.35000000000036"/>
    <n v="-125883450.00000024"/>
  </r>
  <r>
    <s v="Apr"/>
    <s v="Bajaj"/>
    <s v="Pulsar NS400"/>
    <n v="373"/>
    <s v="&gt;350"/>
    <x v="2"/>
    <n v="245000"/>
    <n v="0.28000000000000003"/>
    <n v="0.4"/>
    <n v="313600"/>
    <n v="343000"/>
    <n v="29400"/>
    <n v="1701907200"/>
    <n v="1582241850"/>
    <n v="5427"/>
    <n v="4612.95"/>
    <n v="-814.05000000000018"/>
    <n v="-119665350"/>
  </r>
  <r>
    <s v="May"/>
    <s v="Bajaj"/>
    <s v="Pulsar NS400"/>
    <n v="373"/>
    <s v="&gt;350"/>
    <x v="2"/>
    <n v="245000"/>
    <n v="0.28000000000000003"/>
    <n v="0.4"/>
    <n v="313600"/>
    <n v="343000"/>
    <n v="29400"/>
    <n v="1661452800"/>
    <n v="1544631900"/>
    <n v="5298"/>
    <n v="4503.3"/>
    <n v="-794.69999999999982"/>
    <n v="-116820900"/>
  </r>
  <r>
    <s v="Jun"/>
    <s v="Bajaj"/>
    <s v="Pulsar NS400"/>
    <n v="373"/>
    <s v="&gt;350"/>
    <x v="2"/>
    <n v="245000"/>
    <n v="0.28000000000000003"/>
    <n v="0.4"/>
    <n v="313600"/>
    <n v="343000"/>
    <n v="29400"/>
    <n v="1507475200"/>
    <n v="1401480850"/>
    <n v="4807"/>
    <n v="4085.95"/>
    <n v="-721.05000000000018"/>
    <n v="-105994350"/>
  </r>
  <r>
    <s v="Jul"/>
    <s v="Bajaj"/>
    <s v="Pulsar NS400"/>
    <n v="373"/>
    <s v="&gt;350"/>
    <x v="2"/>
    <n v="245000"/>
    <n v="0.28000000000000003"/>
    <n v="0.4"/>
    <n v="313600"/>
    <n v="343000"/>
    <n v="29400"/>
    <n v="1267257600"/>
    <n v="1178153550"/>
    <n v="4041"/>
    <n v="3434.85"/>
    <n v="-606.15000000000009"/>
    <n v="-89104050"/>
  </r>
  <r>
    <s v="Aug"/>
    <s v="Bajaj"/>
    <s v="Pulsar NS400"/>
    <n v="373"/>
    <s v="&gt;350"/>
    <x v="2"/>
    <n v="245000"/>
    <n v="0.28000000000000003"/>
    <n v="0.4"/>
    <n v="313600"/>
    <n v="343000"/>
    <n v="29400"/>
    <n v="1413395200"/>
    <n v="1314015850"/>
    <n v="4507"/>
    <n v="3830.95"/>
    <n v="-676.05000000000018"/>
    <n v="-99379350"/>
  </r>
  <r>
    <s v="Sep"/>
    <s v="Bajaj"/>
    <s v="Pulsar NS400"/>
    <n v="373"/>
    <s v="&gt;350"/>
    <x v="2"/>
    <n v="245000"/>
    <s v="c"/>
    <n v="0.4"/>
    <n v="313600"/>
    <n v="343000"/>
    <n v="29400"/>
    <n v="1607513600"/>
    <n v="1494485299.9999998"/>
    <n v="5126"/>
    <n v="4357.0999999999995"/>
    <n v="-768.90000000000055"/>
    <n v="-113028300.00000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5557B4-7872-4B12-831D-38E74A93D0E0}" name="PivotTable12"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0:C34" firstHeaderRow="0" firstDataRow="1" firstDataCol="1"/>
  <pivotFields count="22">
    <pivotField numFmtId="164"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axis="axisRow" showAll="0">
      <items count="4">
        <item x="0"/>
        <item x="1"/>
        <item x="2"/>
        <item t="default"/>
      </items>
    </pivotField>
    <pivotField numFmtId="165" showAll="0"/>
    <pivotField showAll="0"/>
    <pivotField numFmtId="9" showAll="0"/>
    <pivotField numFmtId="165" showAll="0"/>
    <pivotField numFmtId="165" showAll="0"/>
    <pivotField numFmtId="165" showAll="0"/>
    <pivotField dataField="1" numFmtId="165" showAll="0"/>
    <pivotField dataField="1" numFmtId="165" showAll="0"/>
    <pivotField showAll="0"/>
    <pivotField numFmtId="1" showAll="0"/>
    <pivotField numFmtId="1" showAll="0"/>
    <pivotField showAll="0" defaultSubtotal="0"/>
    <pivotField showAll="0" defaultSubtotal="0"/>
    <pivotField showAll="0" defaultSubtotal="0">
      <items count="5">
        <item x="0"/>
        <item x="1"/>
        <item x="2"/>
        <item x="3"/>
        <item x="4"/>
      </items>
    </pivotField>
  </pivotFields>
  <rowFields count="1">
    <field x="7"/>
  </rowFields>
  <rowItems count="4">
    <i>
      <x/>
    </i>
    <i>
      <x v="1"/>
    </i>
    <i>
      <x v="2"/>
    </i>
    <i t="grand">
      <x/>
    </i>
  </rowItems>
  <colFields count="1">
    <field x="-2"/>
  </colFields>
  <colItems count="2">
    <i>
      <x/>
    </i>
    <i i="1">
      <x v="1"/>
    </i>
  </colItems>
  <dataFields count="2">
    <dataField name="Sum of pre policy revenue " fld="14" baseField="0" baseItem="0" numFmtId="165"/>
    <dataField name="Sum of post policy revenue "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868349-CDB0-4D6C-8D6C-10EFD31073C6}" name="PivotTable2"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B6" firstHeaderRow="1" firstDataRow="1" firstDataCol="1"/>
  <pivotFields count="22">
    <pivotField numFmtId="164"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axis="axisRow" showAll="0">
      <items count="4">
        <item x="0"/>
        <item x="1"/>
        <item x="2"/>
        <item t="default"/>
      </items>
    </pivotField>
    <pivotField numFmtId="165" showAll="0"/>
    <pivotField showAll="0"/>
    <pivotField numFmtId="9" showAll="0"/>
    <pivotField numFmtId="165" showAll="0"/>
    <pivotField numFmtId="165" showAll="0"/>
    <pivotField numFmtId="165" showAll="0"/>
    <pivotField numFmtId="165" showAll="0"/>
    <pivotField numFmtId="165" showAll="0"/>
    <pivotField showAll="0"/>
    <pivotField numFmtId="1" showAll="0"/>
    <pivotField dataField="1" numFmtId="1" showAll="0"/>
    <pivotField showAll="0" defaultSubtotal="0"/>
    <pivotField showAll="0" defaultSubtotal="0"/>
    <pivotField showAll="0" defaultSubtotal="0">
      <items count="5">
        <item x="0"/>
        <item x="1"/>
        <item x="2"/>
        <item x="3"/>
        <item x="4"/>
      </items>
    </pivotField>
  </pivotFields>
  <rowFields count="1">
    <field x="7"/>
  </rowFields>
  <rowItems count="3">
    <i>
      <x/>
    </i>
    <i>
      <x v="1"/>
    </i>
    <i>
      <x v="2"/>
    </i>
  </rowItems>
  <colItems count="1">
    <i/>
  </colItems>
  <dataFields count="1">
    <dataField name="Sum of difference_in_units_sold" fld="18" baseField="0" baseItem="0" numFmtId="1"/>
  </dataFields>
  <chartFormats count="12">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7" count="1" selected="0">
            <x v="0"/>
          </reference>
        </references>
      </pivotArea>
    </chartFormat>
    <chartFormat chart="12" format="7">
      <pivotArea type="data" outline="0" fieldPosition="0">
        <references count="2">
          <reference field="4294967294" count="1" selected="0">
            <x v="0"/>
          </reference>
          <reference field="7" count="1" selected="0">
            <x v="1"/>
          </reference>
        </references>
      </pivotArea>
    </chartFormat>
    <chartFormat chart="12" format="8">
      <pivotArea type="data" outline="0" fieldPosition="0">
        <references count="2">
          <reference field="4294967294" count="1" selected="0">
            <x v="0"/>
          </reference>
          <reference field="7" count="1" selected="0">
            <x v="2"/>
          </reference>
        </references>
      </pivotArea>
    </chartFormat>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7" count="1" selected="0">
            <x v="0"/>
          </reference>
        </references>
      </pivotArea>
    </chartFormat>
    <chartFormat chart="0" format="11">
      <pivotArea type="data" outline="0" fieldPosition="0">
        <references count="2">
          <reference field="4294967294" count="1" selected="0">
            <x v="0"/>
          </reference>
          <reference field="7" count="1" selected="0">
            <x v="1"/>
          </reference>
        </references>
      </pivotArea>
    </chartFormat>
    <chartFormat chart="0" format="12">
      <pivotArea type="data" outline="0" fieldPosition="0">
        <references count="2">
          <reference field="4294967294" count="1" selected="0">
            <x v="0"/>
          </reference>
          <reference field="7" count="1" selected="0">
            <x v="2"/>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7" count="1" selected="0">
            <x v="0"/>
          </reference>
        </references>
      </pivotArea>
    </chartFormat>
    <chartFormat chart="17" format="15">
      <pivotArea type="data" outline="0" fieldPosition="0">
        <references count="2">
          <reference field="4294967294" count="1" selected="0">
            <x v="0"/>
          </reference>
          <reference field="7" count="1" selected="0">
            <x v="1"/>
          </reference>
        </references>
      </pivotArea>
    </chartFormat>
    <chartFormat chart="17"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F50533-0FDC-456D-A760-AB63F6DD7A19}" name="PivotTable3"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2">
    <pivotField numFmtId="164"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items count="13">
        <item x="0"/>
        <item x="1"/>
        <item x="2"/>
        <item x="3"/>
        <item x="4"/>
        <item x="5"/>
        <item x="6"/>
        <item x="7"/>
        <item x="8"/>
        <item x="9"/>
        <item x="10"/>
        <item x="11"/>
        <item t="default"/>
      </items>
    </pivotField>
    <pivotField showAll="0"/>
    <pivotField axis="axisRow" showAll="0" measureFilter="1" sortType="descending">
      <items count="16">
        <item x="10"/>
        <item x="6"/>
        <item x="2"/>
        <item x="11"/>
        <item x="12"/>
        <item x="0"/>
        <item x="1"/>
        <item x="3"/>
        <item x="4"/>
        <item x="9"/>
        <item x="13"/>
        <item x="5"/>
        <item x="7"/>
        <item x="14"/>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showAll="0"/>
    <pivotField numFmtId="9" showAll="0"/>
    <pivotField numFmtId="165" showAll="0"/>
    <pivotField numFmtId="165" showAll="0"/>
    <pivotField numFmtId="165" showAll="0"/>
    <pivotField numFmtId="165" showAll="0"/>
    <pivotField numFmtId="165" showAll="0"/>
    <pivotField showAll="0"/>
    <pivotField numFmtId="1" showAll="0"/>
    <pivotField dataField="1" numFmtId="1" showAll="0"/>
    <pivotField showAll="0" defaultSubtotal="0"/>
    <pivotField showAll="0" defaultSubtotal="0"/>
    <pivotField showAll="0" defaultSubtotal="0">
      <items count="5">
        <item x="0"/>
        <item x="1"/>
        <item x="2"/>
        <item x="3"/>
        <item x="4"/>
      </items>
    </pivotField>
  </pivotFields>
  <rowFields count="1">
    <field x="4"/>
  </rowFields>
  <rowItems count="11">
    <i>
      <x v="5"/>
    </i>
    <i>
      <x v="7"/>
    </i>
    <i>
      <x v="8"/>
    </i>
    <i>
      <x v="6"/>
    </i>
    <i>
      <x v="2"/>
    </i>
    <i>
      <x v="11"/>
    </i>
    <i>
      <x v="9"/>
    </i>
    <i>
      <x v="12"/>
    </i>
    <i>
      <x v="14"/>
    </i>
    <i>
      <x v="1"/>
    </i>
    <i t="grand">
      <x/>
    </i>
  </rowItems>
  <colItems count="1">
    <i/>
  </colItems>
  <dataFields count="1">
    <dataField name="Sum of difference_in_units_sold" fld="18" baseField="0" baseItem="0" numFmtId="1"/>
  </dataFields>
  <chartFormats count="2">
    <chartFormat chart="0" format="5"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347B79-1397-425A-8E32-7A70289193C9}" name="PivotTable3"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22">
    <pivotField numFmtId="164"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items count="13">
        <item x="0"/>
        <item x="1"/>
        <item x="2"/>
        <item x="3"/>
        <item x="4"/>
        <item x="5"/>
        <item x="6"/>
        <item x="7"/>
        <item x="8"/>
        <item x="9"/>
        <item x="10"/>
        <item x="11"/>
        <item t="default"/>
      </items>
    </pivotField>
    <pivotField showAll="0"/>
    <pivotField axis="axisRow" showAll="0" measureFilter="1" sortType="ascending">
      <items count="16">
        <item x="10"/>
        <item x="6"/>
        <item x="2"/>
        <item x="11"/>
        <item x="12"/>
        <item x="0"/>
        <item x="1"/>
        <item x="3"/>
        <item x="4"/>
        <item x="9"/>
        <item x="13"/>
        <item x="5"/>
        <item x="7"/>
        <item x="14"/>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showAll="0"/>
    <pivotField numFmtId="9" showAll="0"/>
    <pivotField numFmtId="165" showAll="0"/>
    <pivotField numFmtId="165" showAll="0"/>
    <pivotField numFmtId="165" showAll="0"/>
    <pivotField numFmtId="165" showAll="0"/>
    <pivotField numFmtId="165" showAll="0"/>
    <pivotField showAll="0"/>
    <pivotField numFmtId="1" showAll="0"/>
    <pivotField dataField="1" numFmtId="1" showAll="0"/>
    <pivotField showAll="0" defaultSubtotal="0"/>
    <pivotField showAll="0" defaultSubtotal="0"/>
    <pivotField showAll="0" defaultSubtotal="0">
      <items count="5">
        <item x="0"/>
        <item x="1"/>
        <item x="2"/>
        <item x="3"/>
        <item x="4"/>
      </items>
    </pivotField>
  </pivotFields>
  <rowFields count="1">
    <field x="4"/>
  </rowFields>
  <rowItems count="11">
    <i>
      <x v="4"/>
    </i>
    <i>
      <x v="10"/>
    </i>
    <i>
      <x v="13"/>
    </i>
    <i>
      <x v="3"/>
    </i>
    <i>
      <x/>
    </i>
    <i>
      <x v="1"/>
    </i>
    <i>
      <x v="14"/>
    </i>
    <i>
      <x v="12"/>
    </i>
    <i>
      <x v="9"/>
    </i>
    <i>
      <x v="11"/>
    </i>
    <i t="grand">
      <x/>
    </i>
  </rowItems>
  <colItems count="1">
    <i/>
  </colItems>
  <dataFields count="1">
    <dataField name="Sum of difference_in_units_sold" fld="18" baseField="0" baseItem="0" numFmtId="1"/>
  </dataField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4"/>
          </reference>
        </references>
      </pivotArea>
    </chartFormat>
    <chartFormat chart="2" format="3">
      <pivotArea type="data" outline="0" fieldPosition="0">
        <references count="2">
          <reference field="4294967294" count="1" selected="0">
            <x v="0"/>
          </reference>
          <reference field="4" count="1" selected="0">
            <x v="10"/>
          </reference>
        </references>
      </pivotArea>
    </chartFormat>
    <chartFormat chart="2" format="4">
      <pivotArea type="data" outline="0" fieldPosition="0">
        <references count="2">
          <reference field="4294967294" count="1" selected="0">
            <x v="0"/>
          </reference>
          <reference field="4" count="1" selected="0">
            <x v="13"/>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4" count="1" selected="0">
            <x v="4"/>
          </reference>
        </references>
      </pivotArea>
    </chartFormat>
    <chartFormat chart="8" format="11">
      <pivotArea type="data" outline="0" fieldPosition="0">
        <references count="2">
          <reference field="4294967294" count="1" selected="0">
            <x v="0"/>
          </reference>
          <reference field="4" count="1" selected="0">
            <x v="10"/>
          </reference>
        </references>
      </pivotArea>
    </chartFormat>
    <chartFormat chart="8" format="12">
      <pivotArea type="data" outline="0" fieldPosition="0">
        <references count="2">
          <reference field="4294967294" count="1" selected="0">
            <x v="0"/>
          </reference>
          <reference field="4" count="1" selected="0">
            <x v="13"/>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FB8C57-973C-4C80-9D7B-FD0B709B29AE}" name="PivotTable10"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8">
    <pivotField showAll="0"/>
    <pivotField showAll="0"/>
    <pivotField showAll="0"/>
    <pivotField showAll="0"/>
    <pivotField showAll="0"/>
    <pivotField axis="axisRow" showAll="0">
      <items count="4">
        <item x="0"/>
        <item x="1"/>
        <item x="2"/>
        <item t="default"/>
      </items>
    </pivotField>
    <pivotField numFmtId="165" showAll="0"/>
    <pivotField showAll="0"/>
    <pivotField numFmtId="9" showAll="0"/>
    <pivotField numFmtId="165" showAll="0"/>
    <pivotField numFmtId="165" showAll="0"/>
    <pivotField numFmtId="165" showAll="0"/>
    <pivotField numFmtId="165" showAll="0"/>
    <pivotField numFmtId="165" showAll="0"/>
    <pivotField showAll="0"/>
    <pivotField numFmtId="1" showAll="0"/>
    <pivotField numFmtId="1" showAll="0"/>
    <pivotField dataField="1" numFmtId="165" showAll="0"/>
  </pivotFields>
  <rowFields count="1">
    <field x="5"/>
  </rowFields>
  <rowItems count="4">
    <i>
      <x/>
    </i>
    <i>
      <x v="1"/>
    </i>
    <i>
      <x v="2"/>
    </i>
    <i t="grand">
      <x/>
    </i>
  </rowItems>
  <colItems count="1">
    <i/>
  </colItems>
  <dataFields count="1">
    <dataField name="Sum of rev difference" fld="17"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F73250-3559-4988-9561-FF4A0DB5FBBF}" name="PivotTable4"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B6" firstHeaderRow="1" firstDataRow="1" firstDataCol="1"/>
  <pivotFields count="22">
    <pivotField numFmtId="164"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axis="axisRow" showAll="0">
      <items count="4">
        <item x="0"/>
        <item x="1"/>
        <item x="2"/>
        <item t="default"/>
      </items>
    </pivotField>
    <pivotField numFmtId="165" showAll="0"/>
    <pivotField showAll="0"/>
    <pivotField numFmtId="9" showAll="0"/>
    <pivotField numFmtId="165" showAll="0"/>
    <pivotField numFmtId="165" showAll="0"/>
    <pivotField dataField="1" numFmtId="165" showAll="0"/>
    <pivotField numFmtId="165" showAll="0"/>
    <pivotField numFmtId="165" showAll="0"/>
    <pivotField showAll="0"/>
    <pivotField numFmtId="1" showAll="0"/>
    <pivotField numFmtId="1" showAll="0"/>
    <pivotField showAll="0" defaultSubtotal="0"/>
    <pivotField showAll="0" defaultSubtotal="0"/>
    <pivotField showAll="0" defaultSubtotal="0">
      <items count="5">
        <item x="0"/>
        <item x="1"/>
        <item x="2"/>
        <item x="3"/>
        <item x="4"/>
      </items>
    </pivotField>
  </pivotFields>
  <rowFields count="1">
    <field x="7"/>
  </rowFields>
  <rowItems count="3">
    <i>
      <x/>
    </i>
    <i>
      <x v="1"/>
    </i>
    <i>
      <x v="2"/>
    </i>
  </rowItems>
  <colItems count="1">
    <i/>
  </colItems>
  <dataFields count="1">
    <dataField name="Average of price change" fld="13"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9E5938-53BA-4A2A-B96E-9A554DF3E826}" name="PivotTable7"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6" firstHeaderRow="0" firstDataRow="1" firstDataCol="1"/>
  <pivotFields count="22">
    <pivotField numFmtId="164"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numFmtId="165" showAll="0"/>
    <pivotField showAll="0"/>
    <pivotField numFmtId="9" showAll="0"/>
    <pivotField numFmtId="165" showAll="0"/>
    <pivotField numFmtId="165" showAll="0"/>
    <pivotField numFmtId="165" showAll="0"/>
    <pivotField numFmtId="165" showAll="0"/>
    <pivotField numFmtId="165" showAll="0"/>
    <pivotField dataField="1" showAll="0"/>
    <pivotField dataField="1" numFmtId="1" showAll="0"/>
    <pivotField numFmtI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e_units_sold" fld="16" baseField="0" baseItem="0"/>
    <dataField name="Sum of post_units_sold" fld="17" baseField="0" baseItem="0" numFmtId="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5D9F3FF-46B9-435C-AB1E-D7C2D883A798}" sourceName="Month">
  <pivotTables>
    <pivotTable tabId="9" name="PivotTable3"/>
    <pivotTable tabId="11" name="PivotTable4"/>
    <pivotTable tabId="10" name="PivotTable3"/>
    <pivotTable tabId="15" name="PivotTable7"/>
    <pivotTable tabId="8" name="PivotTable12"/>
    <pivotTable tabId="8" name="PivotTable2"/>
  </pivotTables>
  <data>
    <tabular pivotCacheId="1643149836">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606B7E3-8614-4871-9839-F3214C49EB7E}" cache="Slicer_Month" caption="Month"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3803C4-06B8-47B0-A125-0F370EC58339}" name="Table3" displayName="Table3" ref="A1:D46" totalsRowShown="0">
  <autoFilter ref="A1:D46" xr:uid="{643803C4-06B8-47B0-A125-0F370EC58339}">
    <filterColumn colId="0">
      <filters>
        <dateGroupItem year="2026" dateTimeGrouping="year"/>
        <dateGroupItem year="2025" dateTimeGrouping="year"/>
        <dateGroupItem year="2024" dateTimeGrouping="year"/>
      </filters>
    </filterColumn>
  </autoFilter>
  <tableColumns count="4">
    <tableColumn id="1" xr3:uid="{27902D30-07C1-418E-A779-FAE6A662E0EF}" name="Date" dataDxfId="7"/>
    <tableColumn id="2" xr3:uid="{84CB8F88-09FE-49EB-B921-A357CAE573A2}" name="post policy revenue "/>
    <tableColumn id="3" xr3:uid="{603A1F67-85C4-4DCE-AB2E-B3008A1723DA}" name="Forecast(post policy revenue )" dataDxfId="6">
      <calculatedColumnFormula>_xlfn.FORECAST.ETS(A2,$B$2:$B$34,$A$2:$A$34,1,1)</calculatedColumnFormula>
    </tableColumn>
    <tableColumn id="4" xr3:uid="{4A8C13AC-5EE0-4DAC-BEBA-2B3B732D65EE}" name="Confidence Interval(post policy revenue )" dataDxfId="5">
      <calculatedColumnFormula>_xlfn.FORECAST.ETS.CONFINT(A2,$B$2:$B$34,$A$2:$A$34,0.95,1,1)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81BF8-E6B7-4343-B1AF-C40D05AED3FD}">
  <dimension ref="A3:C34"/>
  <sheetViews>
    <sheetView workbookViewId="0">
      <selection activeCell="C34" sqref="C34"/>
    </sheetView>
  </sheetViews>
  <sheetFormatPr defaultRowHeight="14.4" x14ac:dyDescent="0.3"/>
  <cols>
    <col min="1" max="1" width="12.5546875" bestFit="1" customWidth="1"/>
    <col min="2" max="2" width="28.5546875" bestFit="1" customWidth="1"/>
    <col min="3" max="3" width="24.6640625" bestFit="1" customWidth="1"/>
  </cols>
  <sheetData>
    <row r="3" spans="1:2" x14ac:dyDescent="0.3">
      <c r="A3" s="9" t="s">
        <v>36</v>
      </c>
      <c r="B3" t="s">
        <v>62</v>
      </c>
    </row>
    <row r="4" spans="1:2" x14ac:dyDescent="0.3">
      <c r="A4" s="10" t="s">
        <v>58</v>
      </c>
      <c r="B4" s="12">
        <v>1862885.9999999998</v>
      </c>
    </row>
    <row r="5" spans="1:2" x14ac:dyDescent="0.3">
      <c r="A5" s="10" t="s">
        <v>59</v>
      </c>
      <c r="B5" s="12">
        <v>315448.55000000034</v>
      </c>
    </row>
    <row r="6" spans="1:2" x14ac:dyDescent="0.3">
      <c r="A6" s="10" t="s">
        <v>60</v>
      </c>
      <c r="B6" s="12">
        <v>-93636.300000000032</v>
      </c>
    </row>
    <row r="30" spans="1:3" x14ac:dyDescent="0.3">
      <c r="A30" s="9" t="s">
        <v>36</v>
      </c>
      <c r="B30" t="s">
        <v>63</v>
      </c>
      <c r="C30" t="s">
        <v>64</v>
      </c>
    </row>
    <row r="31" spans="1:3" x14ac:dyDescent="0.3">
      <c r="A31" s="10" t="s">
        <v>58</v>
      </c>
      <c r="B31" s="3">
        <v>1273347107840</v>
      </c>
      <c r="C31" s="3">
        <v>1349946894796</v>
      </c>
    </row>
    <row r="32" spans="1:3" x14ac:dyDescent="0.3">
      <c r="A32" s="10" t="s">
        <v>59</v>
      </c>
      <c r="B32" s="3">
        <v>1115776492800</v>
      </c>
      <c r="C32" s="3">
        <v>1080036777015</v>
      </c>
    </row>
    <row r="33" spans="1:3" x14ac:dyDescent="0.3">
      <c r="A33" s="10" t="s">
        <v>60</v>
      </c>
      <c r="B33" s="3">
        <v>189505760000</v>
      </c>
      <c r="C33" s="3">
        <v>176181136250</v>
      </c>
    </row>
    <row r="34" spans="1:3" x14ac:dyDescent="0.3">
      <c r="A34" s="10" t="s">
        <v>37</v>
      </c>
      <c r="B34" s="3">
        <v>2578629360640</v>
      </c>
      <c r="C34" s="3">
        <v>2606164808061</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6DA0F-3614-44D3-9D81-1A99D467C7EB}">
  <dimension ref="A3:B14"/>
  <sheetViews>
    <sheetView workbookViewId="0">
      <selection activeCell="A5" sqref="A5"/>
    </sheetView>
  </sheetViews>
  <sheetFormatPr defaultRowHeight="14.4" x14ac:dyDescent="0.3"/>
  <cols>
    <col min="1" max="1" width="16.44140625" bestFit="1" customWidth="1"/>
    <col min="2" max="2" width="28.5546875" bestFit="1" customWidth="1"/>
    <col min="3" max="5" width="20.88671875" bestFit="1" customWidth="1"/>
  </cols>
  <sheetData>
    <row r="3" spans="1:2" x14ac:dyDescent="0.3">
      <c r="A3" s="9" t="s">
        <v>36</v>
      </c>
      <c r="B3" t="s">
        <v>62</v>
      </c>
    </row>
    <row r="4" spans="1:2" x14ac:dyDescent="0.3">
      <c r="A4" s="10" t="s">
        <v>12</v>
      </c>
      <c r="B4" s="12">
        <v>445515.14999999973</v>
      </c>
    </row>
    <row r="5" spans="1:2" x14ac:dyDescent="0.3">
      <c r="A5" s="10" t="s">
        <v>15</v>
      </c>
      <c r="B5" s="12">
        <v>396234.14999999979</v>
      </c>
    </row>
    <row r="6" spans="1:2" x14ac:dyDescent="0.3">
      <c r="A6" s="10" t="s">
        <v>16</v>
      </c>
      <c r="B6" s="12">
        <v>374898.74999999977</v>
      </c>
    </row>
    <row r="7" spans="1:2" x14ac:dyDescent="0.3">
      <c r="A7" s="10" t="s">
        <v>13</v>
      </c>
      <c r="B7" s="12">
        <v>349733.39999999985</v>
      </c>
    </row>
    <row r="8" spans="1:2" x14ac:dyDescent="0.3">
      <c r="A8" s="10" t="s">
        <v>14</v>
      </c>
      <c r="B8" s="12">
        <v>296504.54999999981</v>
      </c>
    </row>
    <row r="9" spans="1:2" x14ac:dyDescent="0.3">
      <c r="A9" s="10" t="s">
        <v>17</v>
      </c>
      <c r="B9" s="12">
        <v>83668.200000000099</v>
      </c>
    </row>
    <row r="10" spans="1:2" x14ac:dyDescent="0.3">
      <c r="A10" s="10" t="s">
        <v>20</v>
      </c>
      <c r="B10" s="12">
        <v>66208.500000000044</v>
      </c>
    </row>
    <row r="11" spans="1:2" x14ac:dyDescent="0.3">
      <c r="A11" s="10" t="s">
        <v>18</v>
      </c>
      <c r="B11" s="12">
        <v>58454.15000000006</v>
      </c>
    </row>
    <row r="12" spans="1:2" x14ac:dyDescent="0.3">
      <c r="A12" s="10" t="s">
        <v>19</v>
      </c>
      <c r="B12" s="12">
        <v>33005.950000000033</v>
      </c>
    </row>
    <row r="13" spans="1:2" x14ac:dyDescent="0.3">
      <c r="A13" s="10" t="s">
        <v>21</v>
      </c>
      <c r="B13" s="12">
        <v>32699.10000000002</v>
      </c>
    </row>
    <row r="14" spans="1:2" x14ac:dyDescent="0.3">
      <c r="A14" s="10" t="s">
        <v>37</v>
      </c>
      <c r="B14" s="12">
        <v>2136921.8999999994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3589F-6739-4A8A-8556-434C7C12CD12}">
  <dimension ref="A3:B25"/>
  <sheetViews>
    <sheetView zoomScale="91" workbookViewId="0">
      <selection activeCell="B25" sqref="B25"/>
    </sheetView>
  </sheetViews>
  <sheetFormatPr defaultRowHeight="14.4" x14ac:dyDescent="0.3"/>
  <cols>
    <col min="1" max="1" width="17.6640625" bestFit="1" customWidth="1"/>
    <col min="2" max="2" width="29.21875" bestFit="1" customWidth="1"/>
  </cols>
  <sheetData>
    <row r="3" spans="1:2" x14ac:dyDescent="0.3">
      <c r="A3" s="9" t="s">
        <v>36</v>
      </c>
      <c r="B3" t="s">
        <v>62</v>
      </c>
    </row>
    <row r="4" spans="1:2" x14ac:dyDescent="0.3">
      <c r="A4" s="10" t="s">
        <v>24</v>
      </c>
      <c r="B4" s="12">
        <v>-38826.150000000009</v>
      </c>
    </row>
    <row r="5" spans="1:2" x14ac:dyDescent="0.3">
      <c r="A5" s="10" t="s">
        <v>25</v>
      </c>
      <c r="B5" s="12">
        <v>-30159.000000000015</v>
      </c>
    </row>
    <row r="6" spans="1:2" x14ac:dyDescent="0.3">
      <c r="A6" s="10" t="s">
        <v>26</v>
      </c>
      <c r="B6" s="12">
        <v>-24651.150000000009</v>
      </c>
    </row>
    <row r="7" spans="1:2" x14ac:dyDescent="0.3">
      <c r="A7" s="10" t="s">
        <v>23</v>
      </c>
      <c r="B7" s="12">
        <v>16739.350000000017</v>
      </c>
    </row>
    <row r="8" spans="1:2" x14ac:dyDescent="0.3">
      <c r="A8" s="10" t="s">
        <v>22</v>
      </c>
      <c r="B8" s="12">
        <v>24673.300000000017</v>
      </c>
    </row>
    <row r="9" spans="1:2" x14ac:dyDescent="0.3">
      <c r="A9" s="10" t="s">
        <v>21</v>
      </c>
      <c r="B9" s="12">
        <v>32699.10000000002</v>
      </c>
    </row>
    <row r="10" spans="1:2" x14ac:dyDescent="0.3">
      <c r="A10" s="10" t="s">
        <v>19</v>
      </c>
      <c r="B10" s="12">
        <v>33005.950000000033</v>
      </c>
    </row>
    <row r="11" spans="1:2" x14ac:dyDescent="0.3">
      <c r="A11" s="10" t="s">
        <v>18</v>
      </c>
      <c r="B11" s="12">
        <v>58454.15000000006</v>
      </c>
    </row>
    <row r="12" spans="1:2" x14ac:dyDescent="0.3">
      <c r="A12" s="10" t="s">
        <v>20</v>
      </c>
      <c r="B12" s="12">
        <v>66208.500000000044</v>
      </c>
    </row>
    <row r="13" spans="1:2" x14ac:dyDescent="0.3">
      <c r="A13" s="10" t="s">
        <v>17</v>
      </c>
      <c r="B13" s="12">
        <v>83668.200000000099</v>
      </c>
    </row>
    <row r="14" spans="1:2" x14ac:dyDescent="0.3">
      <c r="A14" s="10" t="s">
        <v>37</v>
      </c>
      <c r="B14" s="12">
        <v>221812.25000000026</v>
      </c>
    </row>
    <row r="16" spans="1:2" x14ac:dyDescent="0.3">
      <c r="A16" s="10"/>
      <c r="B16" s="12"/>
    </row>
    <row r="17" spans="1:2" x14ac:dyDescent="0.3">
      <c r="A17" s="10"/>
      <c r="B17" s="12"/>
    </row>
    <row r="18" spans="1:2" x14ac:dyDescent="0.3">
      <c r="A18" s="10"/>
      <c r="B18" s="12"/>
    </row>
    <row r="19" spans="1:2" x14ac:dyDescent="0.3">
      <c r="A19" s="10"/>
      <c r="B19" s="12"/>
    </row>
    <row r="20" spans="1:2" x14ac:dyDescent="0.3">
      <c r="A20" s="10"/>
      <c r="B20" s="12"/>
    </row>
    <row r="21" spans="1:2" x14ac:dyDescent="0.3">
      <c r="A21" s="10"/>
      <c r="B21" s="12"/>
    </row>
    <row r="22" spans="1:2" x14ac:dyDescent="0.3">
      <c r="A22" s="10"/>
      <c r="B22" s="12"/>
    </row>
    <row r="23" spans="1:2" x14ac:dyDescent="0.3">
      <c r="A23" s="10"/>
      <c r="B23" s="12"/>
    </row>
    <row r="24" spans="1:2" x14ac:dyDescent="0.3">
      <c r="A24" s="10"/>
      <c r="B24" s="12"/>
    </row>
    <row r="25" spans="1:2" x14ac:dyDescent="0.3">
      <c r="A25" s="10"/>
      <c r="B25" s="12"/>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82FC2-10EB-48A4-B6A5-133CE2690984}">
  <dimension ref="A3:B7"/>
  <sheetViews>
    <sheetView workbookViewId="0">
      <selection activeCell="B4" sqref="B4"/>
    </sheetView>
  </sheetViews>
  <sheetFormatPr defaultRowHeight="14.4" x14ac:dyDescent="0.3"/>
  <cols>
    <col min="1" max="1" width="12.5546875" bestFit="1" customWidth="1"/>
    <col min="2" max="4" width="19.33203125" bestFit="1" customWidth="1"/>
  </cols>
  <sheetData>
    <row r="3" spans="1:2" x14ac:dyDescent="0.3">
      <c r="A3" s="9" t="s">
        <v>36</v>
      </c>
      <c r="B3" t="s">
        <v>67</v>
      </c>
    </row>
    <row r="4" spans="1:2" x14ac:dyDescent="0.3">
      <c r="A4" s="10" t="s">
        <v>58</v>
      </c>
      <c r="B4" s="3">
        <v>76599786955.999985</v>
      </c>
    </row>
    <row r="5" spans="1:2" x14ac:dyDescent="0.3">
      <c r="A5" s="10" t="s">
        <v>59</v>
      </c>
      <c r="B5" s="3">
        <v>-35739715784.999985</v>
      </c>
    </row>
    <row r="6" spans="1:2" x14ac:dyDescent="0.3">
      <c r="A6" s="10" t="s">
        <v>60</v>
      </c>
      <c r="B6" s="3">
        <v>-13324623750</v>
      </c>
    </row>
    <row r="7" spans="1:2" x14ac:dyDescent="0.3">
      <c r="A7" s="10" t="s">
        <v>37</v>
      </c>
      <c r="B7" s="3">
        <v>27535447421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52712-516B-4FCA-B2F6-24745637DBBC}">
  <dimension ref="A3:B6"/>
  <sheetViews>
    <sheetView workbookViewId="0">
      <selection activeCell="B6" sqref="B6"/>
    </sheetView>
  </sheetViews>
  <sheetFormatPr defaultRowHeight="14.4" x14ac:dyDescent="0.3"/>
  <cols>
    <col min="1" max="1" width="12.5546875" bestFit="1" customWidth="1"/>
    <col min="2" max="2" width="21.5546875" bestFit="1" customWidth="1"/>
  </cols>
  <sheetData>
    <row r="3" spans="1:2" x14ac:dyDescent="0.3">
      <c r="A3" s="9" t="s">
        <v>36</v>
      </c>
      <c r="B3" t="s">
        <v>65</v>
      </c>
    </row>
    <row r="4" spans="1:2" x14ac:dyDescent="0.3">
      <c r="A4" s="10" t="s">
        <v>58</v>
      </c>
      <c r="B4" s="3">
        <v>-8000</v>
      </c>
    </row>
    <row r="5" spans="1:2" x14ac:dyDescent="0.3">
      <c r="A5" s="10" t="s">
        <v>59</v>
      </c>
      <c r="B5" s="3">
        <v>-14357.142857142857</v>
      </c>
    </row>
    <row r="6" spans="1:2" x14ac:dyDescent="0.3">
      <c r="A6" s="10" t="s">
        <v>60</v>
      </c>
      <c r="B6" s="3">
        <v>28600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02DF2-5222-4DC5-B9C4-B6D8203E7BA3}">
  <dimension ref="A3:C16"/>
  <sheetViews>
    <sheetView workbookViewId="0">
      <selection activeCell="B16" sqref="B16"/>
    </sheetView>
  </sheetViews>
  <sheetFormatPr defaultRowHeight="14.4" x14ac:dyDescent="0.3"/>
  <cols>
    <col min="1" max="1" width="12.5546875" bestFit="1" customWidth="1"/>
    <col min="2" max="2" width="20" bestFit="1" customWidth="1"/>
    <col min="3" max="3" width="20.88671875" bestFit="1" customWidth="1"/>
  </cols>
  <sheetData>
    <row r="3" spans="1:3" x14ac:dyDescent="0.3">
      <c r="A3" s="9" t="s">
        <v>36</v>
      </c>
      <c r="B3" t="s">
        <v>40</v>
      </c>
      <c r="C3" t="s">
        <v>41</v>
      </c>
    </row>
    <row r="4" spans="1:3" x14ac:dyDescent="0.3">
      <c r="A4" s="10" t="s">
        <v>42</v>
      </c>
      <c r="B4" s="42">
        <v>1918384</v>
      </c>
      <c r="C4" s="12">
        <v>2125821.7000000007</v>
      </c>
    </row>
    <row r="5" spans="1:3" x14ac:dyDescent="0.3">
      <c r="A5" s="10" t="s">
        <v>43</v>
      </c>
      <c r="B5" s="42">
        <v>1911219</v>
      </c>
      <c r="C5" s="12">
        <v>2116778.15</v>
      </c>
    </row>
    <row r="6" spans="1:3" x14ac:dyDescent="0.3">
      <c r="A6" s="10" t="s">
        <v>44</v>
      </c>
      <c r="B6" s="42">
        <v>2031343</v>
      </c>
      <c r="C6" s="12">
        <v>2252185.25</v>
      </c>
    </row>
    <row r="7" spans="1:3" x14ac:dyDescent="0.3">
      <c r="A7" s="10" t="s">
        <v>45</v>
      </c>
      <c r="B7" s="42">
        <v>1957622</v>
      </c>
      <c r="C7" s="12">
        <v>2167614.4000000008</v>
      </c>
    </row>
    <row r="8" spans="1:3" x14ac:dyDescent="0.3">
      <c r="A8" s="10" t="s">
        <v>46</v>
      </c>
      <c r="B8" s="42">
        <v>1872223</v>
      </c>
      <c r="C8" s="12">
        <v>2070885.0500000005</v>
      </c>
    </row>
    <row r="9" spans="1:3" x14ac:dyDescent="0.3">
      <c r="A9" s="10" t="s">
        <v>47</v>
      </c>
      <c r="B9" s="42">
        <v>1757306</v>
      </c>
      <c r="C9" s="12">
        <v>1947314.3999999997</v>
      </c>
    </row>
    <row r="10" spans="1:3" x14ac:dyDescent="0.3">
      <c r="A10" s="10" t="s">
        <v>48</v>
      </c>
      <c r="B10" s="42">
        <v>1626711</v>
      </c>
      <c r="C10" s="12">
        <v>1802765.7499999998</v>
      </c>
    </row>
    <row r="11" spans="1:3" x14ac:dyDescent="0.3">
      <c r="A11" s="10" t="s">
        <v>49</v>
      </c>
      <c r="B11" s="42">
        <v>1546795</v>
      </c>
      <c r="C11" s="12">
        <v>1712416.0499999998</v>
      </c>
    </row>
    <row r="12" spans="1:3" x14ac:dyDescent="0.3">
      <c r="A12" s="10" t="s">
        <v>50</v>
      </c>
      <c r="B12" s="42">
        <v>1514106</v>
      </c>
      <c r="C12" s="12">
        <v>1680241</v>
      </c>
    </row>
    <row r="13" spans="1:3" x14ac:dyDescent="0.3">
      <c r="A13" s="10" t="s">
        <v>51</v>
      </c>
      <c r="B13" s="42">
        <v>1013190</v>
      </c>
      <c r="C13" s="12">
        <v>1122760.2999999998</v>
      </c>
    </row>
    <row r="14" spans="1:3" x14ac:dyDescent="0.3">
      <c r="A14" s="10" t="s">
        <v>52</v>
      </c>
      <c r="B14" s="42">
        <v>1034156</v>
      </c>
      <c r="C14" s="12">
        <v>1143464.9000000001</v>
      </c>
    </row>
    <row r="15" spans="1:3" x14ac:dyDescent="0.3">
      <c r="A15" s="10" t="s">
        <v>53</v>
      </c>
      <c r="B15" s="42">
        <v>1169398</v>
      </c>
      <c r="C15" s="12">
        <v>1294904.2999999998</v>
      </c>
    </row>
    <row r="16" spans="1:3" x14ac:dyDescent="0.3">
      <c r="A16" s="10" t="s">
        <v>37</v>
      </c>
      <c r="B16" s="42">
        <v>19352453</v>
      </c>
      <c r="C16" s="12">
        <v>21437151.250000004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73F92-CB8A-406A-B14E-B32104D73825}">
  <dimension ref="A1:D46"/>
  <sheetViews>
    <sheetView zoomScale="70" zoomScaleNormal="70" workbookViewId="0">
      <selection activeCell="J27" sqref="J27"/>
    </sheetView>
  </sheetViews>
  <sheetFormatPr defaultRowHeight="14.4" x14ac:dyDescent="0.3"/>
  <cols>
    <col min="1" max="1" width="11.21875" bestFit="1" customWidth="1"/>
    <col min="2" max="2" width="19.77734375" customWidth="1"/>
    <col min="3" max="3" width="28.109375" customWidth="1"/>
    <col min="4" max="4" width="37.5546875" customWidth="1"/>
  </cols>
  <sheetData>
    <row r="1" spans="1:4" x14ac:dyDescent="0.3">
      <c r="A1" t="s">
        <v>0</v>
      </c>
      <c r="B1" t="s">
        <v>56</v>
      </c>
      <c r="C1" t="s">
        <v>68</v>
      </c>
      <c r="D1" t="s">
        <v>69</v>
      </c>
    </row>
    <row r="2" spans="1:4" hidden="1" x14ac:dyDescent="0.3">
      <c r="A2" s="45">
        <v>44927</v>
      </c>
      <c r="B2" s="3">
        <v>5732460490.333333</v>
      </c>
    </row>
    <row r="3" spans="1:4" hidden="1" x14ac:dyDescent="0.3">
      <c r="A3" s="45">
        <v>44958</v>
      </c>
      <c r="B3" s="3">
        <v>5528669617.8000002</v>
      </c>
    </row>
    <row r="4" spans="1:4" hidden="1" x14ac:dyDescent="0.3">
      <c r="A4" s="45">
        <v>44986</v>
      </c>
      <c r="B4" s="3">
        <v>6062927731.333333</v>
      </c>
    </row>
    <row r="5" spans="1:4" hidden="1" x14ac:dyDescent="0.3">
      <c r="A5" s="45">
        <v>45017</v>
      </c>
      <c r="B5" s="3">
        <v>5914900454.1333332</v>
      </c>
    </row>
    <row r="6" spans="1:4" hidden="1" x14ac:dyDescent="0.3">
      <c r="A6" s="45">
        <v>45047</v>
      </c>
      <c r="B6" s="3">
        <v>5675800655.6000004</v>
      </c>
    </row>
    <row r="7" spans="1:4" hidden="1" x14ac:dyDescent="0.3">
      <c r="A7" s="45">
        <v>45078</v>
      </c>
      <c r="B7" s="3">
        <v>5276235844.3999996</v>
      </c>
    </row>
    <row r="8" spans="1:4" hidden="1" x14ac:dyDescent="0.3">
      <c r="A8" s="45">
        <v>45108</v>
      </c>
      <c r="B8" s="3">
        <v>4963824779.0666666</v>
      </c>
    </row>
    <row r="9" spans="1:4" hidden="1" x14ac:dyDescent="0.3">
      <c r="A9" s="45">
        <v>45139</v>
      </c>
      <c r="B9" s="3">
        <v>4591239572.4666662</v>
      </c>
    </row>
    <row r="10" spans="1:4" hidden="1" x14ac:dyDescent="0.3">
      <c r="A10" s="45">
        <v>45170</v>
      </c>
      <c r="B10" s="3">
        <v>4591581960.8000002</v>
      </c>
    </row>
    <row r="11" spans="1:4" hidden="1" x14ac:dyDescent="0.3">
      <c r="A11" s="45">
        <v>45200</v>
      </c>
      <c r="B11" s="3">
        <v>4575142948.666667</v>
      </c>
    </row>
    <row r="12" spans="1:4" hidden="1" x14ac:dyDescent="0.3">
      <c r="A12" s="45">
        <v>45231</v>
      </c>
      <c r="B12" s="3">
        <v>4503782855.1333332</v>
      </c>
    </row>
    <row r="13" spans="1:4" hidden="1" x14ac:dyDescent="0.3">
      <c r="A13" s="45">
        <v>45261</v>
      </c>
      <c r="B13" s="3">
        <v>5345443549.8666668</v>
      </c>
    </row>
    <row r="14" spans="1:4" x14ac:dyDescent="0.3">
      <c r="A14" s="45">
        <v>45292</v>
      </c>
      <c r="B14" s="3">
        <v>5694825379.5333338</v>
      </c>
    </row>
    <row r="15" spans="1:4" x14ac:dyDescent="0.3">
      <c r="A15" s="45">
        <v>45323</v>
      </c>
      <c r="B15" s="3">
        <v>5902983051</v>
      </c>
    </row>
    <row r="16" spans="1:4" x14ac:dyDescent="0.3">
      <c r="A16" s="45">
        <v>45352</v>
      </c>
      <c r="B16" s="3">
        <v>6308184903.9333334</v>
      </c>
    </row>
    <row r="17" spans="1:2" x14ac:dyDescent="0.3">
      <c r="A17" s="45">
        <v>45383</v>
      </c>
      <c r="B17" s="3">
        <v>5814351726.1333332</v>
      </c>
    </row>
    <row r="18" spans="1:2" x14ac:dyDescent="0.3">
      <c r="A18" s="45">
        <v>45413</v>
      </c>
      <c r="B18" s="3">
        <v>5579260095.333333</v>
      </c>
    </row>
    <row r="19" spans="1:2" x14ac:dyDescent="0.3">
      <c r="A19" s="45">
        <v>45444</v>
      </c>
      <c r="B19" s="3">
        <v>5246744666.9333334</v>
      </c>
    </row>
    <row r="20" spans="1:2" x14ac:dyDescent="0.3">
      <c r="A20" s="45">
        <v>45474</v>
      </c>
      <c r="B20" s="3">
        <v>4863438143.1999998</v>
      </c>
    </row>
    <row r="21" spans="1:2" x14ac:dyDescent="0.3">
      <c r="A21" s="45">
        <v>45505</v>
      </c>
      <c r="B21" s="3">
        <v>4650306849.9333334</v>
      </c>
    </row>
    <row r="22" spans="1:2" x14ac:dyDescent="0.3">
      <c r="A22" s="45">
        <v>45536</v>
      </c>
      <c r="B22" s="3">
        <v>4505840211.7333336</v>
      </c>
    </row>
    <row r="23" spans="1:2" x14ac:dyDescent="0.3">
      <c r="A23" s="45">
        <v>45566</v>
      </c>
      <c r="B23" s="3">
        <v>4533088154.2666664</v>
      </c>
    </row>
    <row r="24" spans="1:2" x14ac:dyDescent="0.3">
      <c r="A24" s="45">
        <v>45597</v>
      </c>
      <c r="B24" s="3">
        <v>4893063369.333333</v>
      </c>
    </row>
    <row r="25" spans="1:2" x14ac:dyDescent="0.3">
      <c r="A25" s="45">
        <v>45627</v>
      </c>
      <c r="B25" s="3">
        <v>5156406356.1333332</v>
      </c>
    </row>
    <row r="26" spans="1:2" x14ac:dyDescent="0.3">
      <c r="A26" s="45">
        <v>45658</v>
      </c>
      <c r="B26" s="3">
        <v>5766637599.5333338</v>
      </c>
    </row>
    <row r="27" spans="1:2" x14ac:dyDescent="0.3">
      <c r="A27" s="45">
        <v>45689</v>
      </c>
      <c r="B27" s="3">
        <v>5793763287.8666668</v>
      </c>
    </row>
    <row r="28" spans="1:2" x14ac:dyDescent="0.3">
      <c r="A28" s="45">
        <v>45717</v>
      </c>
      <c r="B28" s="3">
        <v>5818164462.333333</v>
      </c>
    </row>
    <row r="29" spans="1:2" x14ac:dyDescent="0.3">
      <c r="A29" s="45">
        <v>45748</v>
      </c>
      <c r="B29" s="3">
        <v>5837865852.1999998</v>
      </c>
    </row>
    <row r="30" spans="1:2" x14ac:dyDescent="0.3">
      <c r="A30" s="45">
        <v>45778</v>
      </c>
      <c r="B30" s="3">
        <v>5660094426.0666666</v>
      </c>
    </row>
    <row r="31" spans="1:2" x14ac:dyDescent="0.3">
      <c r="A31" s="45">
        <v>45809</v>
      </c>
      <c r="B31" s="3">
        <v>5205680462.7333336</v>
      </c>
    </row>
    <row r="32" spans="1:2" x14ac:dyDescent="0.3">
      <c r="A32" s="45">
        <v>45839</v>
      </c>
      <c r="B32" s="3">
        <v>4694929739.7333336</v>
      </c>
    </row>
    <row r="33" spans="1:4" x14ac:dyDescent="0.3">
      <c r="A33" s="45">
        <v>45870</v>
      </c>
      <c r="B33" s="3">
        <v>4716380301</v>
      </c>
    </row>
    <row r="34" spans="1:4" x14ac:dyDescent="0.3">
      <c r="A34" s="45">
        <v>45901</v>
      </c>
      <c r="B34" s="3">
        <v>4340301038.8666668</v>
      </c>
    </row>
    <row r="35" spans="1:4" x14ac:dyDescent="0.3">
      <c r="A35" s="45">
        <v>45931</v>
      </c>
      <c r="C35" s="3">
        <f>_xlfn.FORECAST.ETS(A35,$B$2:$B$34,$A$2:$A$34,1,1)</f>
        <v>4518647254.2191353</v>
      </c>
      <c r="D35" s="3">
        <f>_xlfn.FORECAST.ETS.CONFINT(A35,$B$2:$B$34,$A$2:$A$34,0.95,1,1)</f>
        <v>283554302.91099775</v>
      </c>
    </row>
    <row r="36" spans="1:4" x14ac:dyDescent="0.3">
      <c r="A36" s="45">
        <v>45962</v>
      </c>
      <c r="C36" s="3">
        <f>_xlfn.FORECAST.ETS(A36,$B$2:$B$34,$A$2:$A$34,1,1)</f>
        <v>4674080548.80474</v>
      </c>
      <c r="D36" s="3">
        <f>_xlfn.FORECAST.ETS.CONFINT(A36,$B$2:$B$34,$A$2:$A$34,0.95,1,1)</f>
        <v>283555578.9024899</v>
      </c>
    </row>
    <row r="37" spans="1:4" x14ac:dyDescent="0.3">
      <c r="A37" s="45">
        <v>45992</v>
      </c>
      <c r="C37" s="3">
        <f>_xlfn.FORECAST.ETS(A37,$B$2:$B$34,$A$2:$A$34,1,1)</f>
        <v>5249682609.6768255</v>
      </c>
      <c r="D37" s="3">
        <f>_xlfn.FORECAST.ETS.CONFINT(A37,$B$2:$B$34,$A$2:$A$34,0.95,1,1)</f>
        <v>283557847.31763178</v>
      </c>
    </row>
    <row r="38" spans="1:4" x14ac:dyDescent="0.3">
      <c r="A38" s="45">
        <v>46023</v>
      </c>
      <c r="C38" s="3">
        <f>_xlfn.FORECAST.ETS(A38,$B$2:$B$34,$A$2:$A$34,1,1)</f>
        <v>5668989281.4390078</v>
      </c>
      <c r="D38" s="3">
        <f>_xlfn.FORECAST.ETS.CONFINT(A38,$B$2:$B$34,$A$2:$A$34,0.95,1,1)</f>
        <v>283561391.67996204</v>
      </c>
    </row>
    <row r="39" spans="1:4" x14ac:dyDescent="0.3">
      <c r="A39" s="45">
        <v>46054</v>
      </c>
      <c r="C39" s="3">
        <f>_xlfn.FORECAST.ETS(A39,$B$2:$B$34,$A$2:$A$34,1,1)</f>
        <v>5770233319.6757507</v>
      </c>
      <c r="D39" s="3">
        <f>_xlfn.FORECAST.ETS.CONFINT(A39,$B$2:$B$34,$A$2:$A$34,0.95,1,1)</f>
        <v>283566495.48388827</v>
      </c>
    </row>
    <row r="40" spans="1:4" x14ac:dyDescent="0.3">
      <c r="A40" s="45">
        <v>46082</v>
      </c>
      <c r="C40" s="3">
        <f>_xlfn.FORECAST.ETS(A40,$B$2:$B$34,$A$2:$A$34,1,1)</f>
        <v>6101439367.7548695</v>
      </c>
      <c r="D40" s="3">
        <f>_xlfn.FORECAST.ETS.CONFINT(A40,$B$2:$B$34,$A$2:$A$34,0.95,1,1)</f>
        <v>283573442.18051571</v>
      </c>
    </row>
    <row r="41" spans="1:4" x14ac:dyDescent="0.3">
      <c r="A41" s="45">
        <v>46113</v>
      </c>
      <c r="C41" s="3">
        <f>_xlfn.FORECAST.ETS(A41,$B$2:$B$34,$A$2:$A$34,1,1)</f>
        <v>5783851480.538455</v>
      </c>
      <c r="D41" s="3">
        <f>_xlfn.FORECAST.ETS.CONFINT(A41,$B$2:$B$34,$A$2:$A$34,0.95,1,1)</f>
        <v>283582515.16064787</v>
      </c>
    </row>
    <row r="42" spans="1:4" x14ac:dyDescent="0.3">
      <c r="A42" s="45">
        <v>46143</v>
      </c>
      <c r="C42" s="3">
        <f>_xlfn.FORECAST.ETS(A42,$B$2:$B$34,$A$2:$A$34,1,1)</f>
        <v>5561456336.6473541</v>
      </c>
      <c r="D42" s="3">
        <f>_xlfn.FORECAST.ETS.CONFINT(A42,$B$2:$B$34,$A$2:$A$34,0.95,1,1)</f>
        <v>283593997.73496217</v>
      </c>
    </row>
    <row r="43" spans="1:4" x14ac:dyDescent="0.3">
      <c r="A43" s="45">
        <v>46174</v>
      </c>
      <c r="C43" s="3">
        <f>_xlfn.FORECAST.ETS(A43,$B$2:$B$34,$A$2:$A$34,1,1)</f>
        <v>5189292258.0818472</v>
      </c>
      <c r="D43" s="3">
        <f>_xlfn.FORECAST.ETS.CONFINT(A43,$B$2:$B$34,$A$2:$A$34,0.95,1,1)</f>
        <v>283608173.11136794</v>
      </c>
    </row>
    <row r="44" spans="1:4" x14ac:dyDescent="0.3">
      <c r="A44" s="45">
        <v>46204</v>
      </c>
      <c r="C44" s="3">
        <f>_xlfn.FORECAST.ETS(A44,$B$2:$B$34,$A$2:$A$34,1,1)</f>
        <v>4797299746.1998701</v>
      </c>
      <c r="D44" s="3">
        <f>_xlfn.FORECAST.ETS.CONFINT(A44,$B$2:$B$34,$A$2:$A$34,0.95,1,1)</f>
        <v>283625324.36955321</v>
      </c>
    </row>
    <row r="45" spans="1:4" x14ac:dyDescent="0.3">
      <c r="A45" s="45">
        <v>46235</v>
      </c>
      <c r="C45" s="3">
        <f>_xlfn.FORECAST.ETS(A45,$B$2:$B$34,$A$2:$A$34,1,1)</f>
        <v>4586732080.4082727</v>
      </c>
      <c r="D45" s="3">
        <f>_xlfn.FORECAST.ETS.CONFINT(A45,$B$2:$B$34,$A$2:$A$34,0.95,1,1)</f>
        <v>283645734.43273032</v>
      </c>
    </row>
    <row r="46" spans="1:4" x14ac:dyDescent="0.3">
      <c r="A46" s="45">
        <v>46266</v>
      </c>
      <c r="C46" s="3">
        <f>_xlfn.FORECAST.ETS(A46,$B$2:$B$34,$A$2:$A$34,1,1)</f>
        <v>4438390519.928133</v>
      </c>
      <c r="D46" s="3">
        <f>_xlfn.FORECAST.ETS.CONFINT(A46,$B$2:$B$34,$A$2:$A$34,0.95,1,1)</f>
        <v>283669686.03659284</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8FAD8-7F75-458D-817A-F020E706B54A}">
  <dimension ref="A1:M496"/>
  <sheetViews>
    <sheetView tabSelected="1" workbookViewId="0">
      <selection activeCell="M2" sqref="M2"/>
    </sheetView>
  </sheetViews>
  <sheetFormatPr defaultRowHeight="14.4" x14ac:dyDescent="0.3"/>
  <cols>
    <col min="1" max="1" width="10.33203125" bestFit="1" customWidth="1"/>
    <col min="2" max="2" width="5" bestFit="1" customWidth="1"/>
    <col min="3" max="3" width="6.77734375" bestFit="1" customWidth="1"/>
    <col min="4" max="4" width="12.6640625" bestFit="1" customWidth="1"/>
    <col min="5" max="5" width="16.5546875" bestFit="1" customWidth="1"/>
    <col min="6" max="6" width="9.44140625" bestFit="1" customWidth="1"/>
    <col min="7" max="7" width="18.44140625" bestFit="1" customWidth="1"/>
    <col min="8" max="8" width="15.21875" bestFit="1" customWidth="1"/>
    <col min="9" max="9" width="14.6640625" bestFit="1" customWidth="1"/>
    <col min="10" max="10" width="19" bestFit="1" customWidth="1"/>
    <col min="11" max="11" width="16.44140625" bestFit="1" customWidth="1"/>
  </cols>
  <sheetData>
    <row r="1" spans="1:13" x14ac:dyDescent="0.3">
      <c r="A1" s="26" t="s">
        <v>0</v>
      </c>
      <c r="B1" s="26" t="s">
        <v>1</v>
      </c>
      <c r="C1" s="26" t="s">
        <v>2</v>
      </c>
      <c r="D1" s="26" t="s">
        <v>3</v>
      </c>
      <c r="E1" s="26" t="s">
        <v>4</v>
      </c>
      <c r="F1" s="26" t="s">
        <v>5</v>
      </c>
      <c r="G1" s="26" t="s">
        <v>6</v>
      </c>
      <c r="H1" s="26" t="s">
        <v>7</v>
      </c>
      <c r="I1" s="26" t="s">
        <v>8</v>
      </c>
      <c r="J1" s="26" t="s">
        <v>9</v>
      </c>
      <c r="K1" s="26" t="s">
        <v>10</v>
      </c>
      <c r="M1" s="27" t="s">
        <v>71</v>
      </c>
    </row>
    <row r="2" spans="1:13" x14ac:dyDescent="0.3">
      <c r="A2" s="8">
        <v>44927</v>
      </c>
      <c r="B2" s="4">
        <v>2023</v>
      </c>
      <c r="C2" s="4">
        <v>1</v>
      </c>
      <c r="D2" s="4" t="s">
        <v>11</v>
      </c>
      <c r="E2" s="4" t="s">
        <v>12</v>
      </c>
      <c r="F2" s="4">
        <v>102</v>
      </c>
      <c r="G2" s="4">
        <v>65000</v>
      </c>
      <c r="H2" s="4">
        <v>0.28000000000000003</v>
      </c>
      <c r="I2" s="4">
        <v>83200</v>
      </c>
      <c r="J2" s="4">
        <v>104731</v>
      </c>
      <c r="K2" s="4">
        <v>8713619200</v>
      </c>
    </row>
    <row r="3" spans="1:13" x14ac:dyDescent="0.3">
      <c r="A3" s="1">
        <v>44958</v>
      </c>
      <c r="B3">
        <v>2023</v>
      </c>
      <c r="C3">
        <v>2</v>
      </c>
      <c r="D3" t="s">
        <v>11</v>
      </c>
      <c r="E3" t="s">
        <v>12</v>
      </c>
      <c r="F3">
        <v>102</v>
      </c>
      <c r="G3">
        <v>65000</v>
      </c>
      <c r="H3">
        <v>0.28000000000000003</v>
      </c>
      <c r="I3">
        <v>83200</v>
      </c>
      <c r="J3">
        <v>84128</v>
      </c>
      <c r="K3">
        <v>6999449600</v>
      </c>
    </row>
    <row r="4" spans="1:13" x14ac:dyDescent="0.3">
      <c r="A4" s="8">
        <v>44986</v>
      </c>
      <c r="B4" s="4">
        <v>2023</v>
      </c>
      <c r="C4" s="4">
        <v>3</v>
      </c>
      <c r="D4" s="4" t="s">
        <v>11</v>
      </c>
      <c r="E4" s="4" t="s">
        <v>12</v>
      </c>
      <c r="F4" s="4">
        <v>102</v>
      </c>
      <c r="G4" s="4">
        <v>65000</v>
      </c>
      <c r="H4" s="4">
        <v>0.28000000000000003</v>
      </c>
      <c r="I4" s="4">
        <v>83200</v>
      </c>
      <c r="J4" s="4">
        <v>99742</v>
      </c>
      <c r="K4" s="4">
        <v>8298534400</v>
      </c>
    </row>
    <row r="5" spans="1:13" x14ac:dyDescent="0.3">
      <c r="A5" s="1">
        <v>45017</v>
      </c>
      <c r="B5">
        <v>2023</v>
      </c>
      <c r="C5">
        <v>4</v>
      </c>
      <c r="D5" t="s">
        <v>11</v>
      </c>
      <c r="E5" t="s">
        <v>12</v>
      </c>
      <c r="F5">
        <v>102</v>
      </c>
      <c r="G5">
        <v>65000</v>
      </c>
      <c r="H5">
        <v>0.28000000000000003</v>
      </c>
      <c r="I5">
        <v>83200</v>
      </c>
      <c r="J5">
        <v>112917</v>
      </c>
      <c r="K5">
        <v>9394694400</v>
      </c>
    </row>
    <row r="6" spans="1:13" x14ac:dyDescent="0.3">
      <c r="A6" s="8">
        <v>45047</v>
      </c>
      <c r="B6" s="4">
        <v>2023</v>
      </c>
      <c r="C6" s="4">
        <v>5</v>
      </c>
      <c r="D6" s="4" t="s">
        <v>11</v>
      </c>
      <c r="E6" s="4" t="s">
        <v>12</v>
      </c>
      <c r="F6" s="4">
        <v>102</v>
      </c>
      <c r="G6" s="4">
        <v>65000</v>
      </c>
      <c r="H6" s="4">
        <v>0.28000000000000003</v>
      </c>
      <c r="I6" s="4">
        <v>83200</v>
      </c>
      <c r="J6" s="4">
        <v>101087</v>
      </c>
      <c r="K6" s="4">
        <v>8410438400</v>
      </c>
    </row>
    <row r="7" spans="1:13" x14ac:dyDescent="0.3">
      <c r="A7" s="1">
        <v>45078</v>
      </c>
      <c r="B7">
        <v>2023</v>
      </c>
      <c r="C7">
        <v>6</v>
      </c>
      <c r="D7" t="s">
        <v>11</v>
      </c>
      <c r="E7" t="s">
        <v>12</v>
      </c>
      <c r="F7">
        <v>102</v>
      </c>
      <c r="G7">
        <v>65000</v>
      </c>
      <c r="H7">
        <v>0.28000000000000003</v>
      </c>
      <c r="I7">
        <v>83200</v>
      </c>
      <c r="J7">
        <v>98948</v>
      </c>
      <c r="K7">
        <v>8232473600</v>
      </c>
    </row>
    <row r="8" spans="1:13" x14ac:dyDescent="0.3">
      <c r="A8" s="8">
        <v>45108</v>
      </c>
      <c r="B8" s="4">
        <v>2023</v>
      </c>
      <c r="C8" s="4">
        <v>7</v>
      </c>
      <c r="D8" s="4" t="s">
        <v>11</v>
      </c>
      <c r="E8" s="4" t="s">
        <v>12</v>
      </c>
      <c r="F8" s="4">
        <v>102</v>
      </c>
      <c r="G8" s="4">
        <v>65000</v>
      </c>
      <c r="H8" s="4">
        <v>0.28000000000000003</v>
      </c>
      <c r="I8" s="4">
        <v>83200</v>
      </c>
      <c r="J8" s="4">
        <v>93444</v>
      </c>
      <c r="K8" s="4">
        <v>7774540800</v>
      </c>
    </row>
    <row r="9" spans="1:13" x14ac:dyDescent="0.3">
      <c r="A9" s="1">
        <v>45139</v>
      </c>
      <c r="B9">
        <v>2023</v>
      </c>
      <c r="C9">
        <v>8</v>
      </c>
      <c r="D9" t="s">
        <v>11</v>
      </c>
      <c r="E9" t="s">
        <v>12</v>
      </c>
      <c r="F9">
        <v>102</v>
      </c>
      <c r="G9">
        <v>65000</v>
      </c>
      <c r="H9">
        <v>0.28000000000000003</v>
      </c>
      <c r="I9">
        <v>83200</v>
      </c>
      <c r="J9">
        <v>76876</v>
      </c>
      <c r="K9">
        <v>6396083200</v>
      </c>
    </row>
    <row r="10" spans="1:13" x14ac:dyDescent="0.3">
      <c r="A10" s="8">
        <v>45170</v>
      </c>
      <c r="B10" s="4">
        <v>2023</v>
      </c>
      <c r="C10" s="4">
        <v>9</v>
      </c>
      <c r="D10" s="4" t="s">
        <v>11</v>
      </c>
      <c r="E10" s="4" t="s">
        <v>12</v>
      </c>
      <c r="F10" s="4">
        <v>102</v>
      </c>
      <c r="G10" s="4">
        <v>65000</v>
      </c>
      <c r="H10" s="4">
        <v>0.28000000000000003</v>
      </c>
      <c r="I10" s="4">
        <v>83200</v>
      </c>
      <c r="J10" s="4">
        <v>81804</v>
      </c>
      <c r="K10" s="4">
        <v>6806092800</v>
      </c>
    </row>
    <row r="11" spans="1:13" x14ac:dyDescent="0.3">
      <c r="A11" s="1">
        <v>45200</v>
      </c>
      <c r="B11">
        <v>2023</v>
      </c>
      <c r="C11">
        <v>10</v>
      </c>
      <c r="D11" t="s">
        <v>11</v>
      </c>
      <c r="E11" t="s">
        <v>12</v>
      </c>
      <c r="F11">
        <v>102</v>
      </c>
      <c r="G11">
        <v>65000</v>
      </c>
      <c r="H11">
        <v>0.28000000000000003</v>
      </c>
      <c r="I11">
        <v>83200</v>
      </c>
      <c r="J11">
        <v>72638</v>
      </c>
      <c r="K11">
        <v>6043481600</v>
      </c>
    </row>
    <row r="12" spans="1:13" x14ac:dyDescent="0.3">
      <c r="A12" s="8">
        <v>45231</v>
      </c>
      <c r="B12" s="4">
        <v>2023</v>
      </c>
      <c r="C12" s="4">
        <v>11</v>
      </c>
      <c r="D12" s="4" t="s">
        <v>11</v>
      </c>
      <c r="E12" s="4" t="s">
        <v>12</v>
      </c>
      <c r="F12" s="4">
        <v>102</v>
      </c>
      <c r="G12" s="4">
        <v>65000</v>
      </c>
      <c r="H12" s="4">
        <v>0.28000000000000003</v>
      </c>
      <c r="I12" s="4">
        <v>83200</v>
      </c>
      <c r="J12" s="4">
        <v>51297</v>
      </c>
      <c r="K12" s="4">
        <v>4267910400</v>
      </c>
    </row>
    <row r="13" spans="1:13" x14ac:dyDescent="0.3">
      <c r="A13" s="1">
        <v>45261</v>
      </c>
      <c r="B13">
        <v>2023</v>
      </c>
      <c r="C13">
        <v>12</v>
      </c>
      <c r="D13" t="s">
        <v>11</v>
      </c>
      <c r="E13" t="s">
        <v>12</v>
      </c>
      <c r="F13">
        <v>102</v>
      </c>
      <c r="G13">
        <v>65000</v>
      </c>
      <c r="H13">
        <v>0.28000000000000003</v>
      </c>
      <c r="I13">
        <v>83200</v>
      </c>
      <c r="J13">
        <v>97505</v>
      </c>
      <c r="K13">
        <v>8112416000</v>
      </c>
    </row>
    <row r="14" spans="1:13" x14ac:dyDescent="0.3">
      <c r="A14" s="8">
        <v>45292</v>
      </c>
      <c r="B14" s="4">
        <v>2024</v>
      </c>
      <c r="C14" s="4">
        <v>1</v>
      </c>
      <c r="D14" s="4" t="s">
        <v>11</v>
      </c>
      <c r="E14" s="4" t="s">
        <v>12</v>
      </c>
      <c r="F14" s="4">
        <v>102</v>
      </c>
      <c r="G14" s="4">
        <v>65000</v>
      </c>
      <c r="H14" s="4">
        <v>0.28000000000000003</v>
      </c>
      <c r="I14" s="4">
        <v>83200</v>
      </c>
      <c r="J14" s="4">
        <v>112177</v>
      </c>
      <c r="K14" s="4">
        <v>9333126400</v>
      </c>
    </row>
    <row r="15" spans="1:13" x14ac:dyDescent="0.3">
      <c r="A15" s="1">
        <v>45323</v>
      </c>
      <c r="B15">
        <v>2024</v>
      </c>
      <c r="C15">
        <v>2</v>
      </c>
      <c r="D15" t="s">
        <v>11</v>
      </c>
      <c r="E15" t="s">
        <v>12</v>
      </c>
      <c r="F15">
        <v>102</v>
      </c>
      <c r="G15">
        <v>65000</v>
      </c>
      <c r="H15">
        <v>0.28000000000000003</v>
      </c>
      <c r="I15">
        <v>83200</v>
      </c>
      <c r="J15">
        <v>99002</v>
      </c>
      <c r="K15">
        <v>8236966400</v>
      </c>
    </row>
    <row r="16" spans="1:13" x14ac:dyDescent="0.3">
      <c r="A16" s="8">
        <v>45352</v>
      </c>
      <c r="B16" s="4">
        <v>2024</v>
      </c>
      <c r="C16" s="4">
        <v>3</v>
      </c>
      <c r="D16" s="4" t="s">
        <v>11</v>
      </c>
      <c r="E16" s="4" t="s">
        <v>12</v>
      </c>
      <c r="F16" s="4">
        <v>102</v>
      </c>
      <c r="G16" s="4">
        <v>65000</v>
      </c>
      <c r="H16" s="4">
        <v>0.28000000000000003</v>
      </c>
      <c r="I16" s="4">
        <v>83200</v>
      </c>
      <c r="J16" s="4">
        <v>115134</v>
      </c>
      <c r="K16" s="4">
        <v>9579148800</v>
      </c>
    </row>
    <row r="17" spans="1:11" x14ac:dyDescent="0.3">
      <c r="A17" s="1">
        <v>45383</v>
      </c>
      <c r="B17">
        <v>2024</v>
      </c>
      <c r="C17">
        <v>4</v>
      </c>
      <c r="D17" t="s">
        <v>11</v>
      </c>
      <c r="E17" t="s">
        <v>12</v>
      </c>
      <c r="F17">
        <v>102</v>
      </c>
      <c r="G17">
        <v>65000</v>
      </c>
      <c r="H17">
        <v>0.28000000000000003</v>
      </c>
      <c r="I17">
        <v>83200</v>
      </c>
      <c r="J17">
        <v>93218</v>
      </c>
      <c r="K17">
        <v>7755737600</v>
      </c>
    </row>
    <row r="18" spans="1:11" x14ac:dyDescent="0.3">
      <c r="A18" s="8">
        <v>45413</v>
      </c>
      <c r="B18" s="4">
        <v>2024</v>
      </c>
      <c r="C18" s="4">
        <v>5</v>
      </c>
      <c r="D18" s="4" t="s">
        <v>11</v>
      </c>
      <c r="E18" s="4" t="s">
        <v>12</v>
      </c>
      <c r="F18" s="4">
        <v>102</v>
      </c>
      <c r="G18" s="4">
        <v>65000</v>
      </c>
      <c r="H18" s="4">
        <v>0.28000000000000003</v>
      </c>
      <c r="I18" s="4">
        <v>83200</v>
      </c>
      <c r="J18" s="4">
        <v>93169</v>
      </c>
      <c r="K18" s="4">
        <v>7751660800</v>
      </c>
    </row>
    <row r="19" spans="1:11" x14ac:dyDescent="0.3">
      <c r="A19" s="1">
        <v>45444</v>
      </c>
      <c r="B19">
        <v>2024</v>
      </c>
      <c r="C19">
        <v>6</v>
      </c>
      <c r="D19" t="s">
        <v>11</v>
      </c>
      <c r="E19" t="s">
        <v>12</v>
      </c>
      <c r="F19">
        <v>102</v>
      </c>
      <c r="G19">
        <v>65000</v>
      </c>
      <c r="H19">
        <v>0.28000000000000003</v>
      </c>
      <c r="I19">
        <v>83200</v>
      </c>
      <c r="J19">
        <v>91926</v>
      </c>
      <c r="K19">
        <v>7648243200</v>
      </c>
    </row>
    <row r="20" spans="1:11" x14ac:dyDescent="0.3">
      <c r="A20" s="8">
        <v>45474</v>
      </c>
      <c r="B20" s="4">
        <v>2024</v>
      </c>
      <c r="C20" s="4">
        <v>7</v>
      </c>
      <c r="D20" s="4" t="s">
        <v>11</v>
      </c>
      <c r="E20" s="4" t="s">
        <v>12</v>
      </c>
      <c r="F20" s="4">
        <v>102</v>
      </c>
      <c r="G20" s="4">
        <v>65000</v>
      </c>
      <c r="H20" s="4">
        <v>0.28000000000000003</v>
      </c>
      <c r="I20" s="4">
        <v>83200</v>
      </c>
      <c r="J20" s="4">
        <v>102804</v>
      </c>
      <c r="K20" s="4">
        <v>8553292800</v>
      </c>
    </row>
    <row r="21" spans="1:11" x14ac:dyDescent="0.3">
      <c r="A21" s="1">
        <v>45505</v>
      </c>
      <c r="B21">
        <v>2024</v>
      </c>
      <c r="C21">
        <v>8</v>
      </c>
      <c r="D21" t="s">
        <v>11</v>
      </c>
      <c r="E21" t="s">
        <v>12</v>
      </c>
      <c r="F21">
        <v>102</v>
      </c>
      <c r="G21">
        <v>65000</v>
      </c>
      <c r="H21">
        <v>0.28000000000000003</v>
      </c>
      <c r="I21">
        <v>83200</v>
      </c>
      <c r="J21">
        <v>94076</v>
      </c>
      <c r="K21">
        <v>7827123200</v>
      </c>
    </row>
    <row r="22" spans="1:11" x14ac:dyDescent="0.3">
      <c r="A22" s="8">
        <v>45536</v>
      </c>
      <c r="B22" s="4">
        <v>2024</v>
      </c>
      <c r="C22" s="4">
        <v>9</v>
      </c>
      <c r="D22" s="4" t="s">
        <v>11</v>
      </c>
      <c r="E22" s="4" t="s">
        <v>12</v>
      </c>
      <c r="F22" s="4">
        <v>102</v>
      </c>
      <c r="G22" s="4">
        <v>65000</v>
      </c>
      <c r="H22" s="4">
        <v>0.28000000000000003</v>
      </c>
      <c r="I22" s="4">
        <v>83200</v>
      </c>
      <c r="J22" s="4">
        <v>78348</v>
      </c>
      <c r="K22" s="4">
        <v>6518553600</v>
      </c>
    </row>
    <row r="23" spans="1:11" x14ac:dyDescent="0.3">
      <c r="A23" s="1">
        <v>45566</v>
      </c>
      <c r="B23">
        <v>2024</v>
      </c>
      <c r="C23">
        <v>10</v>
      </c>
      <c r="D23" t="s">
        <v>11</v>
      </c>
      <c r="E23" t="s">
        <v>12</v>
      </c>
      <c r="F23">
        <v>102</v>
      </c>
      <c r="G23">
        <v>65000</v>
      </c>
      <c r="H23">
        <v>0.28000000000000003</v>
      </c>
      <c r="I23">
        <v>83200</v>
      </c>
      <c r="J23">
        <v>70215</v>
      </c>
      <c r="K23">
        <v>5841888000</v>
      </c>
    </row>
    <row r="24" spans="1:11" x14ac:dyDescent="0.3">
      <c r="A24" s="8">
        <v>45597</v>
      </c>
      <c r="B24" s="4">
        <v>2024</v>
      </c>
      <c r="C24" s="4">
        <v>11</v>
      </c>
      <c r="D24" s="4" t="s">
        <v>11</v>
      </c>
      <c r="E24" s="4" t="s">
        <v>12</v>
      </c>
      <c r="F24" s="4">
        <v>102</v>
      </c>
      <c r="G24" s="4">
        <v>65000</v>
      </c>
      <c r="H24" s="4">
        <v>0.28000000000000003</v>
      </c>
      <c r="I24" s="4">
        <v>83200</v>
      </c>
      <c r="J24" s="4">
        <v>81504</v>
      </c>
      <c r="K24" s="4">
        <v>6781132800</v>
      </c>
    </row>
    <row r="25" spans="1:11" x14ac:dyDescent="0.3">
      <c r="A25" s="1">
        <v>45627</v>
      </c>
      <c r="B25">
        <v>2024</v>
      </c>
      <c r="C25">
        <v>12</v>
      </c>
      <c r="D25" t="s">
        <v>11</v>
      </c>
      <c r="E25" t="s">
        <v>12</v>
      </c>
      <c r="F25">
        <v>102</v>
      </c>
      <c r="G25">
        <v>65000</v>
      </c>
      <c r="H25">
        <v>0.28000000000000003</v>
      </c>
      <c r="I25">
        <v>83200</v>
      </c>
      <c r="J25">
        <v>81926</v>
      </c>
      <c r="K25">
        <v>6816243200</v>
      </c>
    </row>
    <row r="26" spans="1:11" x14ac:dyDescent="0.3">
      <c r="A26" s="8">
        <v>45658</v>
      </c>
      <c r="B26" s="4">
        <v>2025</v>
      </c>
      <c r="C26" s="4">
        <v>1</v>
      </c>
      <c r="D26" s="4" t="s">
        <v>11</v>
      </c>
      <c r="E26" s="4" t="s">
        <v>12</v>
      </c>
      <c r="F26" s="4">
        <v>102</v>
      </c>
      <c r="G26" s="4">
        <v>65000</v>
      </c>
      <c r="H26" s="4">
        <v>0.28000000000000003</v>
      </c>
      <c r="I26" s="4">
        <v>83200</v>
      </c>
      <c r="J26" s="4">
        <v>94054</v>
      </c>
      <c r="K26" s="4">
        <v>7825292800</v>
      </c>
    </row>
    <row r="27" spans="1:11" x14ac:dyDescent="0.3">
      <c r="A27" s="1">
        <v>45689</v>
      </c>
      <c r="B27">
        <v>2025</v>
      </c>
      <c r="C27">
        <v>2</v>
      </c>
      <c r="D27" t="s">
        <v>11</v>
      </c>
      <c r="E27" t="s">
        <v>12</v>
      </c>
      <c r="F27">
        <v>102</v>
      </c>
      <c r="G27">
        <v>65000</v>
      </c>
      <c r="H27">
        <v>0.28000000000000003</v>
      </c>
      <c r="I27">
        <v>83200</v>
      </c>
      <c r="J27">
        <v>80737</v>
      </c>
      <c r="K27">
        <v>6717318400</v>
      </c>
    </row>
    <row r="28" spans="1:11" x14ac:dyDescent="0.3">
      <c r="A28" s="8">
        <v>45717</v>
      </c>
      <c r="B28" s="4">
        <v>2025</v>
      </c>
      <c r="C28" s="4">
        <v>3</v>
      </c>
      <c r="D28" s="4" t="s">
        <v>11</v>
      </c>
      <c r="E28" s="4" t="s">
        <v>12</v>
      </c>
      <c r="F28" s="4">
        <v>102</v>
      </c>
      <c r="G28" s="4">
        <v>65000</v>
      </c>
      <c r="H28" s="4">
        <v>0.28000000000000003</v>
      </c>
      <c r="I28" s="4">
        <v>83200</v>
      </c>
      <c r="J28" s="4">
        <v>106347</v>
      </c>
      <c r="K28" s="4">
        <v>8848070400</v>
      </c>
    </row>
    <row r="29" spans="1:11" x14ac:dyDescent="0.3">
      <c r="A29" s="1">
        <v>45748</v>
      </c>
      <c r="B29">
        <v>2025</v>
      </c>
      <c r="C29">
        <v>4</v>
      </c>
      <c r="D29" t="s">
        <v>11</v>
      </c>
      <c r="E29" t="s">
        <v>12</v>
      </c>
      <c r="F29">
        <v>102</v>
      </c>
      <c r="G29">
        <v>65000</v>
      </c>
      <c r="H29">
        <v>0.28000000000000003</v>
      </c>
      <c r="I29">
        <v>83200</v>
      </c>
      <c r="J29">
        <v>101937</v>
      </c>
      <c r="K29">
        <v>8481158400</v>
      </c>
    </row>
    <row r="30" spans="1:11" x14ac:dyDescent="0.3">
      <c r="A30" s="8">
        <v>45778</v>
      </c>
      <c r="B30" s="4">
        <v>2025</v>
      </c>
      <c r="C30" s="4">
        <v>5</v>
      </c>
      <c r="D30" s="4" t="s">
        <v>11</v>
      </c>
      <c r="E30" s="4" t="s">
        <v>12</v>
      </c>
      <c r="F30" s="4">
        <v>102</v>
      </c>
      <c r="G30" s="4">
        <v>65000</v>
      </c>
      <c r="H30" s="4">
        <v>0.28000000000000003</v>
      </c>
      <c r="I30" s="4">
        <v>83200</v>
      </c>
      <c r="J30" s="4">
        <v>84438</v>
      </c>
      <c r="K30" s="4">
        <v>7025241600</v>
      </c>
    </row>
    <row r="31" spans="1:11" x14ac:dyDescent="0.3">
      <c r="A31" s="1">
        <v>45809</v>
      </c>
      <c r="B31">
        <v>2025</v>
      </c>
      <c r="C31">
        <v>6</v>
      </c>
      <c r="D31" t="s">
        <v>11</v>
      </c>
      <c r="E31" t="s">
        <v>12</v>
      </c>
      <c r="F31">
        <v>102</v>
      </c>
      <c r="G31">
        <v>65000</v>
      </c>
      <c r="H31">
        <v>0.28000000000000003</v>
      </c>
      <c r="I31">
        <v>83200</v>
      </c>
      <c r="J31">
        <v>92957</v>
      </c>
      <c r="K31">
        <v>7734022400</v>
      </c>
    </row>
    <row r="32" spans="1:11" x14ac:dyDescent="0.3">
      <c r="A32" s="8">
        <v>45839</v>
      </c>
      <c r="B32" s="4">
        <v>2025</v>
      </c>
      <c r="C32" s="4">
        <v>7</v>
      </c>
      <c r="D32" s="4" t="s">
        <v>11</v>
      </c>
      <c r="E32" s="4" t="s">
        <v>12</v>
      </c>
      <c r="F32" s="4">
        <v>102</v>
      </c>
      <c r="G32" s="4">
        <v>65000</v>
      </c>
      <c r="H32" s="4">
        <v>0.28000000000000003</v>
      </c>
      <c r="I32" s="4">
        <v>83200</v>
      </c>
      <c r="J32" s="4">
        <v>81653</v>
      </c>
      <c r="K32" s="4">
        <v>6793529600</v>
      </c>
    </row>
    <row r="33" spans="1:11" x14ac:dyDescent="0.3">
      <c r="A33" s="1">
        <v>45870</v>
      </c>
      <c r="B33">
        <v>2025</v>
      </c>
      <c r="C33">
        <v>8</v>
      </c>
      <c r="D33" t="s">
        <v>11</v>
      </c>
      <c r="E33" t="s">
        <v>12</v>
      </c>
      <c r="F33">
        <v>102</v>
      </c>
      <c r="G33">
        <v>65000</v>
      </c>
      <c r="H33">
        <v>0.28000000000000003</v>
      </c>
      <c r="I33">
        <v>83200</v>
      </c>
      <c r="J33">
        <v>69087</v>
      </c>
      <c r="K33">
        <v>5748038400</v>
      </c>
    </row>
    <row r="34" spans="1:11" x14ac:dyDescent="0.3">
      <c r="A34" s="8">
        <v>45901</v>
      </c>
      <c r="B34" s="4">
        <v>2025</v>
      </c>
      <c r="C34" s="4">
        <v>9</v>
      </c>
      <c r="D34" s="4" t="s">
        <v>11</v>
      </c>
      <c r="E34" s="4" t="s">
        <v>12</v>
      </c>
      <c r="F34" s="4">
        <v>102</v>
      </c>
      <c r="G34" s="4">
        <v>65000</v>
      </c>
      <c r="H34" s="4">
        <v>0.28000000000000003</v>
      </c>
      <c r="I34" s="4">
        <v>83200</v>
      </c>
      <c r="J34" s="4">
        <v>70275</v>
      </c>
      <c r="K34" s="4">
        <v>5846880000</v>
      </c>
    </row>
    <row r="35" spans="1:11" x14ac:dyDescent="0.3">
      <c r="A35" s="1">
        <v>44927</v>
      </c>
      <c r="B35">
        <v>2023</v>
      </c>
      <c r="C35">
        <v>1</v>
      </c>
      <c r="D35" t="s">
        <v>11</v>
      </c>
      <c r="E35" t="s">
        <v>13</v>
      </c>
      <c r="F35">
        <v>115</v>
      </c>
      <c r="G35">
        <v>72000</v>
      </c>
      <c r="H35">
        <v>0.28000000000000003</v>
      </c>
      <c r="I35">
        <v>92160</v>
      </c>
      <c r="J35">
        <v>74795</v>
      </c>
      <c r="K35">
        <v>6893107200</v>
      </c>
    </row>
    <row r="36" spans="1:11" x14ac:dyDescent="0.3">
      <c r="A36" s="8">
        <v>44958</v>
      </c>
      <c r="B36" s="4">
        <v>2023</v>
      </c>
      <c r="C36" s="4">
        <v>2</v>
      </c>
      <c r="D36" s="4" t="s">
        <v>11</v>
      </c>
      <c r="E36" s="4" t="s">
        <v>13</v>
      </c>
      <c r="F36" s="4">
        <v>115</v>
      </c>
      <c r="G36" s="4">
        <v>72000</v>
      </c>
      <c r="H36" s="4">
        <v>0.28000000000000003</v>
      </c>
      <c r="I36" s="4">
        <v>92160</v>
      </c>
      <c r="J36" s="4">
        <v>76871</v>
      </c>
      <c r="K36" s="4">
        <v>7084431360</v>
      </c>
    </row>
    <row r="37" spans="1:11" x14ac:dyDescent="0.3">
      <c r="A37" s="1">
        <v>44986</v>
      </c>
      <c r="B37">
        <v>2023</v>
      </c>
      <c r="C37">
        <v>3</v>
      </c>
      <c r="D37" t="s">
        <v>11</v>
      </c>
      <c r="E37" t="s">
        <v>13</v>
      </c>
      <c r="F37">
        <v>115</v>
      </c>
      <c r="G37">
        <v>72000</v>
      </c>
      <c r="H37">
        <v>0.28000000000000003</v>
      </c>
      <c r="I37">
        <v>92160</v>
      </c>
      <c r="J37">
        <v>70724</v>
      </c>
      <c r="K37">
        <v>6517923840</v>
      </c>
    </row>
    <row r="38" spans="1:11" x14ac:dyDescent="0.3">
      <c r="A38" s="8">
        <v>45017</v>
      </c>
      <c r="B38" s="4">
        <v>2023</v>
      </c>
      <c r="C38" s="4">
        <v>4</v>
      </c>
      <c r="D38" s="4" t="s">
        <v>11</v>
      </c>
      <c r="E38" s="4" t="s">
        <v>13</v>
      </c>
      <c r="F38" s="4">
        <v>115</v>
      </c>
      <c r="G38" s="4">
        <v>72000</v>
      </c>
      <c r="H38" s="4">
        <v>0.28000000000000003</v>
      </c>
      <c r="I38" s="4">
        <v>92160</v>
      </c>
      <c r="J38" s="4">
        <v>79856</v>
      </c>
      <c r="K38" s="4">
        <v>7359528960</v>
      </c>
    </row>
    <row r="39" spans="1:11" x14ac:dyDescent="0.3">
      <c r="A39" s="1">
        <v>45047</v>
      </c>
      <c r="B39">
        <v>2023</v>
      </c>
      <c r="C39">
        <v>5</v>
      </c>
      <c r="D39" t="s">
        <v>11</v>
      </c>
      <c r="E39" t="s">
        <v>13</v>
      </c>
      <c r="F39">
        <v>115</v>
      </c>
      <c r="G39">
        <v>72000</v>
      </c>
      <c r="H39">
        <v>0.28000000000000003</v>
      </c>
      <c r="I39">
        <v>92160</v>
      </c>
      <c r="J39">
        <v>71515</v>
      </c>
      <c r="K39">
        <v>6590822400</v>
      </c>
    </row>
    <row r="40" spans="1:11" x14ac:dyDescent="0.3">
      <c r="A40" s="8">
        <v>45078</v>
      </c>
      <c r="B40" s="4">
        <v>2023</v>
      </c>
      <c r="C40" s="4">
        <v>6</v>
      </c>
      <c r="D40" s="4" t="s">
        <v>11</v>
      </c>
      <c r="E40" s="4" t="s">
        <v>13</v>
      </c>
      <c r="F40" s="4">
        <v>115</v>
      </c>
      <c r="G40" s="4">
        <v>72000</v>
      </c>
      <c r="H40" s="4">
        <v>0.28000000000000003</v>
      </c>
      <c r="I40" s="4">
        <v>92160</v>
      </c>
      <c r="J40" s="4">
        <v>67831</v>
      </c>
      <c r="K40" s="4">
        <v>6251304960</v>
      </c>
    </row>
    <row r="41" spans="1:11" x14ac:dyDescent="0.3">
      <c r="A41" s="1">
        <v>45108</v>
      </c>
      <c r="B41">
        <v>2023</v>
      </c>
      <c r="C41">
        <v>7</v>
      </c>
      <c r="D41" t="s">
        <v>11</v>
      </c>
      <c r="E41" t="s">
        <v>13</v>
      </c>
      <c r="F41">
        <v>115</v>
      </c>
      <c r="G41">
        <v>72000</v>
      </c>
      <c r="H41">
        <v>0.28000000000000003</v>
      </c>
      <c r="I41">
        <v>92160</v>
      </c>
      <c r="J41">
        <v>69934</v>
      </c>
      <c r="K41">
        <v>6445117440</v>
      </c>
    </row>
    <row r="42" spans="1:11" x14ac:dyDescent="0.3">
      <c r="A42" s="8">
        <v>45139</v>
      </c>
      <c r="B42" s="4">
        <v>2023</v>
      </c>
      <c r="C42" s="4">
        <v>8</v>
      </c>
      <c r="D42" s="4" t="s">
        <v>11</v>
      </c>
      <c r="E42" s="4" t="s">
        <v>13</v>
      </c>
      <c r="F42" s="4">
        <v>115</v>
      </c>
      <c r="G42" s="4">
        <v>72000</v>
      </c>
      <c r="H42" s="4">
        <v>0.28000000000000003</v>
      </c>
      <c r="I42" s="4">
        <v>92160</v>
      </c>
      <c r="J42" s="4">
        <v>53791</v>
      </c>
      <c r="K42" s="4">
        <v>4957378560</v>
      </c>
    </row>
    <row r="43" spans="1:11" x14ac:dyDescent="0.3">
      <c r="A43" s="1">
        <v>45170</v>
      </c>
      <c r="B43">
        <v>2023</v>
      </c>
      <c r="C43">
        <v>9</v>
      </c>
      <c r="D43" t="s">
        <v>11</v>
      </c>
      <c r="E43" t="s">
        <v>13</v>
      </c>
      <c r="F43">
        <v>115</v>
      </c>
      <c r="G43">
        <v>72000</v>
      </c>
      <c r="H43">
        <v>0.28000000000000003</v>
      </c>
      <c r="I43">
        <v>92160</v>
      </c>
      <c r="J43">
        <v>63960</v>
      </c>
      <c r="K43">
        <v>5894553600</v>
      </c>
    </row>
    <row r="44" spans="1:11" x14ac:dyDescent="0.3">
      <c r="A44" s="8">
        <v>45200</v>
      </c>
      <c r="B44" s="4">
        <v>2023</v>
      </c>
      <c r="C44" s="4">
        <v>10</v>
      </c>
      <c r="D44" s="4" t="s">
        <v>11</v>
      </c>
      <c r="E44" s="4" t="s">
        <v>13</v>
      </c>
      <c r="F44" s="4">
        <v>115</v>
      </c>
      <c r="G44" s="4">
        <v>72000</v>
      </c>
      <c r="H44" s="4">
        <v>0.28000000000000003</v>
      </c>
      <c r="I44" s="4">
        <v>92160</v>
      </c>
      <c r="J44" s="4">
        <v>67194</v>
      </c>
      <c r="K44" s="4">
        <v>6192599040</v>
      </c>
    </row>
    <row r="45" spans="1:11" x14ac:dyDescent="0.3">
      <c r="A45" s="1">
        <v>45231</v>
      </c>
      <c r="B45">
        <v>2023</v>
      </c>
      <c r="C45">
        <v>11</v>
      </c>
      <c r="D45" t="s">
        <v>11</v>
      </c>
      <c r="E45" t="s">
        <v>13</v>
      </c>
      <c r="F45">
        <v>115</v>
      </c>
      <c r="G45">
        <v>72000</v>
      </c>
      <c r="H45">
        <v>0.28000000000000003</v>
      </c>
      <c r="I45">
        <v>92160</v>
      </c>
      <c r="J45">
        <v>61535</v>
      </c>
      <c r="K45">
        <v>5671065600</v>
      </c>
    </row>
    <row r="46" spans="1:11" x14ac:dyDescent="0.3">
      <c r="A46" s="8">
        <v>45261</v>
      </c>
      <c r="B46" s="4">
        <v>2023</v>
      </c>
      <c r="C46" s="4">
        <v>12</v>
      </c>
      <c r="D46" s="4" t="s">
        <v>11</v>
      </c>
      <c r="E46" s="4" t="s">
        <v>13</v>
      </c>
      <c r="F46" s="4">
        <v>115</v>
      </c>
      <c r="G46" s="4">
        <v>72000</v>
      </c>
      <c r="H46" s="4">
        <v>0.28000000000000003</v>
      </c>
      <c r="I46" s="4">
        <v>92160</v>
      </c>
      <c r="J46" s="4">
        <v>66387</v>
      </c>
      <c r="K46" s="4">
        <v>6118225920</v>
      </c>
    </row>
    <row r="47" spans="1:11" x14ac:dyDescent="0.3">
      <c r="A47" s="1">
        <v>45292</v>
      </c>
      <c r="B47">
        <v>2024</v>
      </c>
      <c r="C47">
        <v>1</v>
      </c>
      <c r="D47" t="s">
        <v>11</v>
      </c>
      <c r="E47" t="s">
        <v>13</v>
      </c>
      <c r="F47">
        <v>115</v>
      </c>
      <c r="G47">
        <v>72000</v>
      </c>
      <c r="H47">
        <v>0.28000000000000003</v>
      </c>
      <c r="I47">
        <v>92160</v>
      </c>
      <c r="J47">
        <v>67443</v>
      </c>
      <c r="K47">
        <v>6215546880</v>
      </c>
    </row>
    <row r="48" spans="1:11" x14ac:dyDescent="0.3">
      <c r="A48" s="8">
        <v>45323</v>
      </c>
      <c r="B48" s="4">
        <v>2024</v>
      </c>
      <c r="C48" s="4">
        <v>2</v>
      </c>
      <c r="D48" s="4" t="s">
        <v>11</v>
      </c>
      <c r="E48" s="4" t="s">
        <v>13</v>
      </c>
      <c r="F48" s="4">
        <v>115</v>
      </c>
      <c r="G48" s="4">
        <v>72000</v>
      </c>
      <c r="H48" s="4">
        <v>0.28000000000000003</v>
      </c>
      <c r="I48" s="4">
        <v>92160</v>
      </c>
      <c r="J48" s="4">
        <v>71467</v>
      </c>
      <c r="K48" s="4">
        <v>6586398720</v>
      </c>
    </row>
    <row r="49" spans="1:11" x14ac:dyDescent="0.3">
      <c r="A49" s="1">
        <v>45352</v>
      </c>
      <c r="B49">
        <v>2024</v>
      </c>
      <c r="C49">
        <v>3</v>
      </c>
      <c r="D49" t="s">
        <v>11</v>
      </c>
      <c r="E49" t="s">
        <v>13</v>
      </c>
      <c r="F49">
        <v>115</v>
      </c>
      <c r="G49">
        <v>72000</v>
      </c>
      <c r="H49">
        <v>0.28000000000000003</v>
      </c>
      <c r="I49">
        <v>92160</v>
      </c>
      <c r="J49">
        <v>91886</v>
      </c>
      <c r="K49">
        <v>8468213760</v>
      </c>
    </row>
    <row r="50" spans="1:11" x14ac:dyDescent="0.3">
      <c r="A50" s="8">
        <v>45383</v>
      </c>
      <c r="B50" s="4">
        <v>2024</v>
      </c>
      <c r="C50" s="4">
        <v>4</v>
      </c>
      <c r="D50" s="4" t="s">
        <v>11</v>
      </c>
      <c r="E50" s="4" t="s">
        <v>13</v>
      </c>
      <c r="F50" s="4">
        <v>115</v>
      </c>
      <c r="G50" s="4">
        <v>72000</v>
      </c>
      <c r="H50" s="4">
        <v>0.28000000000000003</v>
      </c>
      <c r="I50" s="4">
        <v>92160</v>
      </c>
      <c r="J50" s="4">
        <v>83615</v>
      </c>
      <c r="K50" s="4">
        <v>7705958400</v>
      </c>
    </row>
    <row r="51" spans="1:11" x14ac:dyDescent="0.3">
      <c r="A51" s="1">
        <v>45413</v>
      </c>
      <c r="B51">
        <v>2024</v>
      </c>
      <c r="C51">
        <v>5</v>
      </c>
      <c r="D51" t="s">
        <v>11</v>
      </c>
      <c r="E51" t="s">
        <v>13</v>
      </c>
      <c r="F51">
        <v>115</v>
      </c>
      <c r="G51">
        <v>72000</v>
      </c>
      <c r="H51">
        <v>0.28000000000000003</v>
      </c>
      <c r="I51">
        <v>92160</v>
      </c>
      <c r="J51">
        <v>76589</v>
      </c>
      <c r="K51">
        <v>7058442240</v>
      </c>
    </row>
    <row r="52" spans="1:11" x14ac:dyDescent="0.3">
      <c r="A52" s="8">
        <v>45444</v>
      </c>
      <c r="B52" s="4">
        <v>2024</v>
      </c>
      <c r="C52" s="4">
        <v>6</v>
      </c>
      <c r="D52" s="4" t="s">
        <v>11</v>
      </c>
      <c r="E52" s="4" t="s">
        <v>13</v>
      </c>
      <c r="F52" s="4">
        <v>115</v>
      </c>
      <c r="G52" s="4">
        <v>72000</v>
      </c>
      <c r="H52" s="4">
        <v>0.28000000000000003</v>
      </c>
      <c r="I52" s="4">
        <v>92160</v>
      </c>
      <c r="J52" s="4">
        <v>70322</v>
      </c>
      <c r="K52" s="4">
        <v>6480875520</v>
      </c>
    </row>
    <row r="53" spans="1:11" x14ac:dyDescent="0.3">
      <c r="A53" s="1">
        <v>45474</v>
      </c>
      <c r="B53">
        <v>2024</v>
      </c>
      <c r="C53">
        <v>7</v>
      </c>
      <c r="D53" t="s">
        <v>11</v>
      </c>
      <c r="E53" t="s">
        <v>13</v>
      </c>
      <c r="F53">
        <v>115</v>
      </c>
      <c r="G53">
        <v>72000</v>
      </c>
      <c r="H53">
        <v>0.28000000000000003</v>
      </c>
      <c r="I53">
        <v>92160</v>
      </c>
      <c r="J53">
        <v>55558</v>
      </c>
      <c r="K53">
        <v>5120225280</v>
      </c>
    </row>
    <row r="54" spans="1:11" x14ac:dyDescent="0.3">
      <c r="A54" s="8">
        <v>45505</v>
      </c>
      <c r="B54" s="4">
        <v>2024</v>
      </c>
      <c r="C54" s="4">
        <v>8</v>
      </c>
      <c r="D54" s="4" t="s">
        <v>11</v>
      </c>
      <c r="E54" s="4" t="s">
        <v>13</v>
      </c>
      <c r="F54" s="4">
        <v>115</v>
      </c>
      <c r="G54" s="4">
        <v>72000</v>
      </c>
      <c r="H54" s="4">
        <v>0.28000000000000003</v>
      </c>
      <c r="I54" s="4">
        <v>92160</v>
      </c>
      <c r="J54" s="4">
        <v>63366</v>
      </c>
      <c r="K54" s="4">
        <v>5839810560</v>
      </c>
    </row>
    <row r="55" spans="1:11" x14ac:dyDescent="0.3">
      <c r="A55" s="1">
        <v>45536</v>
      </c>
      <c r="B55">
        <v>2024</v>
      </c>
      <c r="C55">
        <v>9</v>
      </c>
      <c r="D55" t="s">
        <v>11</v>
      </c>
      <c r="E55" t="s">
        <v>13</v>
      </c>
      <c r="F55">
        <v>115</v>
      </c>
      <c r="G55">
        <v>72000</v>
      </c>
      <c r="H55">
        <v>0.28000000000000003</v>
      </c>
      <c r="I55">
        <v>92160</v>
      </c>
      <c r="J55">
        <v>68148</v>
      </c>
      <c r="K55">
        <v>6280519680</v>
      </c>
    </row>
    <row r="56" spans="1:11" x14ac:dyDescent="0.3">
      <c r="A56" s="8">
        <v>45566</v>
      </c>
      <c r="B56" s="4">
        <v>2024</v>
      </c>
      <c r="C56" s="4">
        <v>10</v>
      </c>
      <c r="D56" s="4" t="s">
        <v>11</v>
      </c>
      <c r="E56" s="4" t="s">
        <v>13</v>
      </c>
      <c r="F56" s="4">
        <v>115</v>
      </c>
      <c r="G56" s="4">
        <v>72000</v>
      </c>
      <c r="H56" s="4">
        <v>0.28000000000000003</v>
      </c>
      <c r="I56" s="4">
        <v>92160</v>
      </c>
      <c r="J56" s="4">
        <v>56945</v>
      </c>
      <c r="K56" s="4">
        <v>5248051200</v>
      </c>
    </row>
    <row r="57" spans="1:11" x14ac:dyDescent="0.3">
      <c r="A57" s="1">
        <v>45597</v>
      </c>
      <c r="B57">
        <v>2024</v>
      </c>
      <c r="C57">
        <v>11</v>
      </c>
      <c r="D57" t="s">
        <v>11</v>
      </c>
      <c r="E57" t="s">
        <v>13</v>
      </c>
      <c r="F57">
        <v>115</v>
      </c>
      <c r="G57">
        <v>72000</v>
      </c>
      <c r="H57">
        <v>0.28000000000000003</v>
      </c>
      <c r="I57">
        <v>92160</v>
      </c>
      <c r="J57">
        <v>60370</v>
      </c>
      <c r="K57">
        <v>5563699200</v>
      </c>
    </row>
    <row r="58" spans="1:11" x14ac:dyDescent="0.3">
      <c r="A58" s="8">
        <v>45627</v>
      </c>
      <c r="B58" s="4">
        <v>2024</v>
      </c>
      <c r="C58" s="4">
        <v>12</v>
      </c>
      <c r="D58" s="4" t="s">
        <v>11</v>
      </c>
      <c r="E58" s="4" t="s">
        <v>13</v>
      </c>
      <c r="F58" s="4">
        <v>115</v>
      </c>
      <c r="G58" s="4">
        <v>72000</v>
      </c>
      <c r="H58" s="4">
        <v>0.28000000000000003</v>
      </c>
      <c r="I58" s="4">
        <v>92160</v>
      </c>
      <c r="J58" s="4">
        <v>76285</v>
      </c>
      <c r="K58" s="4">
        <v>7030425600</v>
      </c>
    </row>
    <row r="59" spans="1:11" x14ac:dyDescent="0.3">
      <c r="A59" s="1">
        <v>45658</v>
      </c>
      <c r="B59">
        <v>2025</v>
      </c>
      <c r="C59">
        <v>1</v>
      </c>
      <c r="D59" t="s">
        <v>11</v>
      </c>
      <c r="E59" t="s">
        <v>13</v>
      </c>
      <c r="F59">
        <v>115</v>
      </c>
      <c r="G59">
        <v>72000</v>
      </c>
      <c r="H59">
        <v>0.28000000000000003</v>
      </c>
      <c r="I59">
        <v>92160</v>
      </c>
      <c r="J59">
        <v>74726</v>
      </c>
      <c r="K59">
        <v>6886748160</v>
      </c>
    </row>
    <row r="60" spans="1:11" x14ac:dyDescent="0.3">
      <c r="A60" s="8">
        <v>45689</v>
      </c>
      <c r="B60" s="4">
        <v>2025</v>
      </c>
      <c r="C60" s="4">
        <v>2</v>
      </c>
      <c r="D60" s="4" t="s">
        <v>11</v>
      </c>
      <c r="E60" s="4" t="s">
        <v>13</v>
      </c>
      <c r="F60" s="4">
        <v>115</v>
      </c>
      <c r="G60" s="4">
        <v>72000</v>
      </c>
      <c r="H60" s="4">
        <v>0.28000000000000003</v>
      </c>
      <c r="I60" s="4">
        <v>92160</v>
      </c>
      <c r="J60" s="4">
        <v>81070</v>
      </c>
      <c r="K60" s="4">
        <v>7471411200</v>
      </c>
    </row>
    <row r="61" spans="1:11" x14ac:dyDescent="0.3">
      <c r="A61" s="1">
        <v>45717</v>
      </c>
      <c r="B61">
        <v>2025</v>
      </c>
      <c r="C61">
        <v>3</v>
      </c>
      <c r="D61" t="s">
        <v>11</v>
      </c>
      <c r="E61" t="s">
        <v>13</v>
      </c>
      <c r="F61">
        <v>115</v>
      </c>
      <c r="G61">
        <v>72000</v>
      </c>
      <c r="H61">
        <v>0.28000000000000003</v>
      </c>
      <c r="I61">
        <v>92160</v>
      </c>
      <c r="J61">
        <v>73028</v>
      </c>
      <c r="K61">
        <v>6730260480</v>
      </c>
    </row>
    <row r="62" spans="1:11" x14ac:dyDescent="0.3">
      <c r="A62" s="8">
        <v>45748</v>
      </c>
      <c r="B62" s="4">
        <v>2025</v>
      </c>
      <c r="C62" s="4">
        <v>4</v>
      </c>
      <c r="D62" s="4" t="s">
        <v>11</v>
      </c>
      <c r="E62" s="4" t="s">
        <v>13</v>
      </c>
      <c r="F62" s="4">
        <v>115</v>
      </c>
      <c r="G62" s="4">
        <v>72000</v>
      </c>
      <c r="H62" s="4">
        <v>0.28000000000000003</v>
      </c>
      <c r="I62" s="4">
        <v>92160</v>
      </c>
      <c r="J62" s="4">
        <v>86383</v>
      </c>
      <c r="K62" s="4">
        <v>7961057280</v>
      </c>
    </row>
    <row r="63" spans="1:11" x14ac:dyDescent="0.3">
      <c r="A63" s="1">
        <v>45778</v>
      </c>
      <c r="B63">
        <v>2025</v>
      </c>
      <c r="C63">
        <v>5</v>
      </c>
      <c r="D63" t="s">
        <v>11</v>
      </c>
      <c r="E63" t="s">
        <v>13</v>
      </c>
      <c r="F63">
        <v>115</v>
      </c>
      <c r="G63">
        <v>72000</v>
      </c>
      <c r="H63">
        <v>0.28000000000000003</v>
      </c>
      <c r="I63">
        <v>92160</v>
      </c>
      <c r="J63">
        <v>82372</v>
      </c>
      <c r="K63">
        <v>7591403520</v>
      </c>
    </row>
    <row r="64" spans="1:11" x14ac:dyDescent="0.3">
      <c r="A64" s="8">
        <v>45809</v>
      </c>
      <c r="B64" s="4">
        <v>2025</v>
      </c>
      <c r="C64" s="4">
        <v>6</v>
      </c>
      <c r="D64" s="4" t="s">
        <v>11</v>
      </c>
      <c r="E64" s="4" t="s">
        <v>13</v>
      </c>
      <c r="F64" s="4">
        <v>115</v>
      </c>
      <c r="G64" s="4">
        <v>72000</v>
      </c>
      <c r="H64" s="4">
        <v>0.28000000000000003</v>
      </c>
      <c r="I64" s="4">
        <v>92160</v>
      </c>
      <c r="J64" s="4">
        <v>82251</v>
      </c>
      <c r="K64" s="4">
        <v>7580252160</v>
      </c>
    </row>
    <row r="65" spans="1:11" x14ac:dyDescent="0.3">
      <c r="A65" s="1">
        <v>45839</v>
      </c>
      <c r="B65">
        <v>2025</v>
      </c>
      <c r="C65">
        <v>7</v>
      </c>
      <c r="D65" t="s">
        <v>11</v>
      </c>
      <c r="E65" t="s">
        <v>13</v>
      </c>
      <c r="F65">
        <v>115</v>
      </c>
      <c r="G65">
        <v>72000</v>
      </c>
      <c r="H65">
        <v>0.28000000000000003</v>
      </c>
      <c r="I65">
        <v>92160</v>
      </c>
      <c r="J65">
        <v>72211</v>
      </c>
      <c r="K65">
        <v>6654965760</v>
      </c>
    </row>
    <row r="66" spans="1:11" x14ac:dyDescent="0.3">
      <c r="A66" s="8">
        <v>45870</v>
      </c>
      <c r="B66" s="4">
        <v>2025</v>
      </c>
      <c r="C66" s="4">
        <v>8</v>
      </c>
      <c r="D66" s="4" t="s">
        <v>11</v>
      </c>
      <c r="E66" s="4" t="s">
        <v>13</v>
      </c>
      <c r="F66" s="4">
        <v>115</v>
      </c>
      <c r="G66" s="4">
        <v>72000</v>
      </c>
      <c r="H66" s="4">
        <v>0.28000000000000003</v>
      </c>
      <c r="I66" s="4">
        <v>92160</v>
      </c>
      <c r="J66" s="4">
        <v>61355</v>
      </c>
      <c r="K66" s="4">
        <v>5654476800</v>
      </c>
    </row>
    <row r="67" spans="1:11" x14ac:dyDescent="0.3">
      <c r="A67" s="1">
        <v>45901</v>
      </c>
      <c r="B67">
        <v>2025</v>
      </c>
      <c r="C67">
        <v>9</v>
      </c>
      <c r="D67" t="s">
        <v>11</v>
      </c>
      <c r="E67" t="s">
        <v>13</v>
      </c>
      <c r="F67">
        <v>115</v>
      </c>
      <c r="G67">
        <v>72000</v>
      </c>
      <c r="H67">
        <v>0.28000000000000003</v>
      </c>
      <c r="I67">
        <v>92160</v>
      </c>
      <c r="J67">
        <v>51773</v>
      </c>
      <c r="K67">
        <v>4771399680</v>
      </c>
    </row>
    <row r="68" spans="1:11" x14ac:dyDescent="0.3">
      <c r="A68" s="8">
        <v>44927</v>
      </c>
      <c r="B68" s="4">
        <v>2023</v>
      </c>
      <c r="C68" s="4">
        <v>1</v>
      </c>
      <c r="D68" s="4" t="s">
        <v>11</v>
      </c>
      <c r="E68" s="4" t="s">
        <v>14</v>
      </c>
      <c r="F68" s="4">
        <v>115</v>
      </c>
      <c r="G68" s="4">
        <v>68000</v>
      </c>
      <c r="H68" s="4">
        <v>0.28000000000000003</v>
      </c>
      <c r="I68" s="4">
        <v>87040</v>
      </c>
      <c r="J68" s="4">
        <v>63330</v>
      </c>
      <c r="K68" s="4">
        <v>5512243200</v>
      </c>
    </row>
    <row r="69" spans="1:11" x14ac:dyDescent="0.3">
      <c r="A69" s="1">
        <v>44958</v>
      </c>
      <c r="B69">
        <v>2023</v>
      </c>
      <c r="C69">
        <v>2</v>
      </c>
      <c r="D69" t="s">
        <v>11</v>
      </c>
      <c r="E69" t="s">
        <v>14</v>
      </c>
      <c r="F69">
        <v>115</v>
      </c>
      <c r="G69">
        <v>68000</v>
      </c>
      <c r="H69">
        <v>0.28000000000000003</v>
      </c>
      <c r="I69">
        <v>87040</v>
      </c>
      <c r="J69">
        <v>73418</v>
      </c>
      <c r="K69">
        <v>6390302720</v>
      </c>
    </row>
    <row r="70" spans="1:11" x14ac:dyDescent="0.3">
      <c r="A70" s="8">
        <v>44986</v>
      </c>
      <c r="B70" s="4">
        <v>2023</v>
      </c>
      <c r="C70" s="4">
        <v>3</v>
      </c>
      <c r="D70" s="4" t="s">
        <v>11</v>
      </c>
      <c r="E70" s="4" t="s">
        <v>14</v>
      </c>
      <c r="F70" s="4">
        <v>115</v>
      </c>
      <c r="G70" s="4">
        <v>68000</v>
      </c>
      <c r="H70" s="4">
        <v>0.28000000000000003</v>
      </c>
      <c r="I70" s="4">
        <v>87040</v>
      </c>
      <c r="J70" s="4">
        <v>67689</v>
      </c>
      <c r="K70" s="4">
        <v>5891650560</v>
      </c>
    </row>
    <row r="71" spans="1:11" x14ac:dyDescent="0.3">
      <c r="A71" s="1">
        <v>45017</v>
      </c>
      <c r="B71">
        <v>2023</v>
      </c>
      <c r="C71">
        <v>4</v>
      </c>
      <c r="D71" t="s">
        <v>11</v>
      </c>
      <c r="E71" t="s">
        <v>14</v>
      </c>
      <c r="F71">
        <v>115</v>
      </c>
      <c r="G71">
        <v>68000</v>
      </c>
      <c r="H71">
        <v>0.28000000000000003</v>
      </c>
      <c r="I71">
        <v>87040</v>
      </c>
      <c r="J71">
        <v>59388</v>
      </c>
      <c r="K71">
        <v>5169131520</v>
      </c>
    </row>
    <row r="72" spans="1:11" x14ac:dyDescent="0.3">
      <c r="A72" s="8">
        <v>45047</v>
      </c>
      <c r="B72" s="4">
        <v>2023</v>
      </c>
      <c r="C72" s="4">
        <v>5</v>
      </c>
      <c r="D72" s="4" t="s">
        <v>11</v>
      </c>
      <c r="E72" s="4" t="s">
        <v>14</v>
      </c>
      <c r="F72" s="4">
        <v>115</v>
      </c>
      <c r="G72" s="4">
        <v>68000</v>
      </c>
      <c r="H72" s="4">
        <v>0.28000000000000003</v>
      </c>
      <c r="I72" s="4">
        <v>87040</v>
      </c>
      <c r="J72" s="4">
        <v>65684</v>
      </c>
      <c r="K72" s="4">
        <v>5717135360</v>
      </c>
    </row>
    <row r="73" spans="1:11" x14ac:dyDescent="0.3">
      <c r="A73" s="1">
        <v>45078</v>
      </c>
      <c r="B73">
        <v>2023</v>
      </c>
      <c r="C73">
        <v>6</v>
      </c>
      <c r="D73" t="s">
        <v>11</v>
      </c>
      <c r="E73" t="s">
        <v>14</v>
      </c>
      <c r="F73">
        <v>115</v>
      </c>
      <c r="G73">
        <v>68000</v>
      </c>
      <c r="H73">
        <v>0.28000000000000003</v>
      </c>
      <c r="I73">
        <v>87040</v>
      </c>
      <c r="J73">
        <v>66362</v>
      </c>
      <c r="K73">
        <v>5776148480</v>
      </c>
    </row>
    <row r="74" spans="1:11" x14ac:dyDescent="0.3">
      <c r="A74" s="8">
        <v>45108</v>
      </c>
      <c r="B74" s="4">
        <v>2023</v>
      </c>
      <c r="C74" s="4">
        <v>7</v>
      </c>
      <c r="D74" s="4" t="s">
        <v>11</v>
      </c>
      <c r="E74" s="4" t="s">
        <v>14</v>
      </c>
      <c r="F74" s="4">
        <v>115</v>
      </c>
      <c r="G74" s="4">
        <v>68000</v>
      </c>
      <c r="H74" s="4">
        <v>0.28000000000000003</v>
      </c>
      <c r="I74" s="4">
        <v>87040</v>
      </c>
      <c r="J74" s="4">
        <v>55140</v>
      </c>
      <c r="K74" s="4">
        <v>4799385600</v>
      </c>
    </row>
    <row r="75" spans="1:11" x14ac:dyDescent="0.3">
      <c r="A75" s="1">
        <v>45139</v>
      </c>
      <c r="B75">
        <v>2023</v>
      </c>
      <c r="C75">
        <v>8</v>
      </c>
      <c r="D75" t="s">
        <v>11</v>
      </c>
      <c r="E75" t="s">
        <v>14</v>
      </c>
      <c r="F75">
        <v>115</v>
      </c>
      <c r="G75">
        <v>68000</v>
      </c>
      <c r="H75">
        <v>0.28000000000000003</v>
      </c>
      <c r="I75">
        <v>87040</v>
      </c>
      <c r="J75">
        <v>45888</v>
      </c>
      <c r="K75">
        <v>3994091520</v>
      </c>
    </row>
    <row r="76" spans="1:11" x14ac:dyDescent="0.3">
      <c r="A76" s="8">
        <v>45170</v>
      </c>
      <c r="B76" s="4">
        <v>2023</v>
      </c>
      <c r="C76" s="4">
        <v>9</v>
      </c>
      <c r="D76" s="4" t="s">
        <v>11</v>
      </c>
      <c r="E76" s="4" t="s">
        <v>14</v>
      </c>
      <c r="F76" s="4">
        <v>115</v>
      </c>
      <c r="G76" s="4">
        <v>68000</v>
      </c>
      <c r="H76" s="4">
        <v>0.28000000000000003</v>
      </c>
      <c r="I76" s="4">
        <v>87040</v>
      </c>
      <c r="J76" s="4">
        <v>61002</v>
      </c>
      <c r="K76" s="4">
        <v>5309614080</v>
      </c>
    </row>
    <row r="77" spans="1:11" x14ac:dyDescent="0.3">
      <c r="A77" s="1">
        <v>45200</v>
      </c>
      <c r="B77">
        <v>2023</v>
      </c>
      <c r="C77">
        <v>10</v>
      </c>
      <c r="D77" t="s">
        <v>11</v>
      </c>
      <c r="E77" t="s">
        <v>14</v>
      </c>
      <c r="F77">
        <v>115</v>
      </c>
      <c r="G77">
        <v>68000</v>
      </c>
      <c r="H77">
        <v>0.28000000000000003</v>
      </c>
      <c r="I77">
        <v>87040</v>
      </c>
      <c r="J77">
        <v>56084</v>
      </c>
      <c r="K77">
        <v>4881551360</v>
      </c>
    </row>
    <row r="78" spans="1:11" x14ac:dyDescent="0.3">
      <c r="A78" s="8">
        <v>45231</v>
      </c>
      <c r="B78" s="4">
        <v>2023</v>
      </c>
      <c r="C78" s="4">
        <v>11</v>
      </c>
      <c r="D78" s="4" t="s">
        <v>11</v>
      </c>
      <c r="E78" s="4" t="s">
        <v>14</v>
      </c>
      <c r="F78" s="4">
        <v>115</v>
      </c>
      <c r="G78" s="4">
        <v>68000</v>
      </c>
      <c r="H78" s="4">
        <v>0.28000000000000003</v>
      </c>
      <c r="I78" s="4">
        <v>87040</v>
      </c>
      <c r="J78" s="4">
        <v>53777</v>
      </c>
      <c r="K78" s="4">
        <v>4680750080</v>
      </c>
    </row>
    <row r="79" spans="1:11" x14ac:dyDescent="0.3">
      <c r="A79" s="1">
        <v>45261</v>
      </c>
      <c r="B79">
        <v>2023</v>
      </c>
      <c r="C79">
        <v>12</v>
      </c>
      <c r="D79" t="s">
        <v>11</v>
      </c>
      <c r="E79" t="s">
        <v>14</v>
      </c>
      <c r="F79">
        <v>115</v>
      </c>
      <c r="G79">
        <v>68000</v>
      </c>
      <c r="H79">
        <v>0.28000000000000003</v>
      </c>
      <c r="I79">
        <v>87040</v>
      </c>
      <c r="J79">
        <v>64965</v>
      </c>
      <c r="K79">
        <v>5654553600</v>
      </c>
    </row>
    <row r="80" spans="1:11" x14ac:dyDescent="0.3">
      <c r="A80" s="8">
        <v>45292</v>
      </c>
      <c r="B80" s="4">
        <v>2024</v>
      </c>
      <c r="C80" s="4">
        <v>1</v>
      </c>
      <c r="D80" s="4" t="s">
        <v>11</v>
      </c>
      <c r="E80" s="4" t="s">
        <v>14</v>
      </c>
      <c r="F80" s="4">
        <v>115</v>
      </c>
      <c r="G80" s="4">
        <v>68000</v>
      </c>
      <c r="H80" s="4">
        <v>0.28000000000000003</v>
      </c>
      <c r="I80" s="4">
        <v>87040</v>
      </c>
      <c r="J80" s="4">
        <v>67541</v>
      </c>
      <c r="K80" s="4">
        <v>5878768640</v>
      </c>
    </row>
    <row r="81" spans="1:11" x14ac:dyDescent="0.3">
      <c r="A81" s="1">
        <v>45323</v>
      </c>
      <c r="B81">
        <v>2024</v>
      </c>
      <c r="C81">
        <v>2</v>
      </c>
      <c r="D81" t="s">
        <v>11</v>
      </c>
      <c r="E81" t="s">
        <v>14</v>
      </c>
      <c r="F81">
        <v>115</v>
      </c>
      <c r="G81">
        <v>68000</v>
      </c>
      <c r="H81">
        <v>0.28000000000000003</v>
      </c>
      <c r="I81">
        <v>87040</v>
      </c>
      <c r="J81">
        <v>72617</v>
      </c>
      <c r="K81">
        <v>6320583680</v>
      </c>
    </row>
    <row r="82" spans="1:11" x14ac:dyDescent="0.3">
      <c r="A82" s="8">
        <v>45352</v>
      </c>
      <c r="B82" s="4">
        <v>2024</v>
      </c>
      <c r="C82" s="4">
        <v>3</v>
      </c>
      <c r="D82" s="4" t="s">
        <v>11</v>
      </c>
      <c r="E82" s="4" t="s">
        <v>14</v>
      </c>
      <c r="F82" s="4">
        <v>115</v>
      </c>
      <c r="G82" s="4">
        <v>68000</v>
      </c>
      <c r="H82" s="4">
        <v>0.28000000000000003</v>
      </c>
      <c r="I82" s="4">
        <v>87040</v>
      </c>
      <c r="J82" s="4">
        <v>66300</v>
      </c>
      <c r="K82" s="4">
        <v>5770752000</v>
      </c>
    </row>
    <row r="83" spans="1:11" x14ac:dyDescent="0.3">
      <c r="A83" s="1">
        <v>45383</v>
      </c>
      <c r="B83">
        <v>2024</v>
      </c>
      <c r="C83">
        <v>4</v>
      </c>
      <c r="D83" t="s">
        <v>11</v>
      </c>
      <c r="E83" t="s">
        <v>14</v>
      </c>
      <c r="F83">
        <v>115</v>
      </c>
      <c r="G83">
        <v>68000</v>
      </c>
      <c r="H83">
        <v>0.28000000000000003</v>
      </c>
      <c r="I83">
        <v>87040</v>
      </c>
      <c r="J83">
        <v>62132</v>
      </c>
      <c r="K83">
        <v>5407969280</v>
      </c>
    </row>
    <row r="84" spans="1:11" x14ac:dyDescent="0.3">
      <c r="A84" s="8">
        <v>45413</v>
      </c>
      <c r="B84" s="4">
        <v>2024</v>
      </c>
      <c r="C84" s="4">
        <v>5</v>
      </c>
      <c r="D84" s="4" t="s">
        <v>11</v>
      </c>
      <c r="E84" s="4" t="s">
        <v>14</v>
      </c>
      <c r="F84" s="4">
        <v>115</v>
      </c>
      <c r="G84" s="4">
        <v>68000</v>
      </c>
      <c r="H84" s="4">
        <v>0.28000000000000003</v>
      </c>
      <c r="I84" s="4">
        <v>87040</v>
      </c>
      <c r="J84" s="4">
        <v>56359</v>
      </c>
      <c r="K84" s="4">
        <v>4905487360</v>
      </c>
    </row>
    <row r="85" spans="1:11" x14ac:dyDescent="0.3">
      <c r="A85" s="1">
        <v>45444</v>
      </c>
      <c r="B85">
        <v>2024</v>
      </c>
      <c r="C85">
        <v>6</v>
      </c>
      <c r="D85" t="s">
        <v>11</v>
      </c>
      <c r="E85" t="s">
        <v>14</v>
      </c>
      <c r="F85">
        <v>115</v>
      </c>
      <c r="G85">
        <v>68000</v>
      </c>
      <c r="H85">
        <v>0.28000000000000003</v>
      </c>
      <c r="I85">
        <v>87040</v>
      </c>
      <c r="J85">
        <v>51931</v>
      </c>
      <c r="K85">
        <v>4520074240</v>
      </c>
    </row>
    <row r="86" spans="1:11" x14ac:dyDescent="0.3">
      <c r="A86" s="8">
        <v>45474</v>
      </c>
      <c r="B86" s="4">
        <v>2024</v>
      </c>
      <c r="C86" s="4">
        <v>7</v>
      </c>
      <c r="D86" s="4" t="s">
        <v>11</v>
      </c>
      <c r="E86" s="4" t="s">
        <v>14</v>
      </c>
      <c r="F86" s="4">
        <v>115</v>
      </c>
      <c r="G86" s="4">
        <v>68000</v>
      </c>
      <c r="H86" s="4">
        <v>0.28000000000000003</v>
      </c>
      <c r="I86" s="4">
        <v>87040</v>
      </c>
      <c r="J86" s="4">
        <v>54711</v>
      </c>
      <c r="K86" s="4">
        <v>4762045440</v>
      </c>
    </row>
    <row r="87" spans="1:11" x14ac:dyDescent="0.3">
      <c r="A87" s="1">
        <v>45505</v>
      </c>
      <c r="B87">
        <v>2024</v>
      </c>
      <c r="C87">
        <v>8</v>
      </c>
      <c r="D87" t="s">
        <v>11</v>
      </c>
      <c r="E87" t="s">
        <v>14</v>
      </c>
      <c r="F87">
        <v>115</v>
      </c>
      <c r="G87">
        <v>68000</v>
      </c>
      <c r="H87">
        <v>0.28000000000000003</v>
      </c>
      <c r="I87">
        <v>87040</v>
      </c>
      <c r="J87">
        <v>49450</v>
      </c>
      <c r="K87">
        <v>4304128000</v>
      </c>
    </row>
    <row r="88" spans="1:11" x14ac:dyDescent="0.3">
      <c r="A88" s="8">
        <v>45536</v>
      </c>
      <c r="B88" s="4">
        <v>2024</v>
      </c>
      <c r="C88" s="4">
        <v>9</v>
      </c>
      <c r="D88" s="4" t="s">
        <v>11</v>
      </c>
      <c r="E88" s="4" t="s">
        <v>14</v>
      </c>
      <c r="F88" s="4">
        <v>115</v>
      </c>
      <c r="G88" s="4">
        <v>68000</v>
      </c>
      <c r="H88" s="4">
        <v>0.28000000000000003</v>
      </c>
      <c r="I88" s="4">
        <v>87040</v>
      </c>
      <c r="J88" s="4">
        <v>58874</v>
      </c>
      <c r="K88" s="4">
        <v>5124392960</v>
      </c>
    </row>
    <row r="89" spans="1:11" x14ac:dyDescent="0.3">
      <c r="A89" s="1">
        <v>45566</v>
      </c>
      <c r="B89">
        <v>2024</v>
      </c>
      <c r="C89">
        <v>10</v>
      </c>
      <c r="D89" t="s">
        <v>11</v>
      </c>
      <c r="E89" t="s">
        <v>14</v>
      </c>
      <c r="F89">
        <v>115</v>
      </c>
      <c r="G89">
        <v>68000</v>
      </c>
      <c r="H89">
        <v>0.28000000000000003</v>
      </c>
      <c r="I89">
        <v>87040</v>
      </c>
      <c r="J89">
        <v>53604</v>
      </c>
      <c r="K89">
        <v>4665692160</v>
      </c>
    </row>
    <row r="90" spans="1:11" x14ac:dyDescent="0.3">
      <c r="A90" s="8">
        <v>45597</v>
      </c>
      <c r="B90" s="4">
        <v>2024</v>
      </c>
      <c r="C90" s="4">
        <v>11</v>
      </c>
      <c r="D90" s="4" t="s">
        <v>11</v>
      </c>
      <c r="E90" s="4" t="s">
        <v>14</v>
      </c>
      <c r="F90" s="4">
        <v>115</v>
      </c>
      <c r="G90" s="4">
        <v>68000</v>
      </c>
      <c r="H90" s="4">
        <v>0.28000000000000003</v>
      </c>
      <c r="I90" s="4">
        <v>87040</v>
      </c>
      <c r="J90" s="4">
        <v>56970</v>
      </c>
      <c r="K90" s="4">
        <v>4958668800</v>
      </c>
    </row>
    <row r="91" spans="1:11" x14ac:dyDescent="0.3">
      <c r="A91" s="1">
        <v>45627</v>
      </c>
      <c r="B91">
        <v>2024</v>
      </c>
      <c r="C91">
        <v>12</v>
      </c>
      <c r="D91" t="s">
        <v>11</v>
      </c>
      <c r="E91" t="s">
        <v>14</v>
      </c>
      <c r="F91">
        <v>115</v>
      </c>
      <c r="G91">
        <v>68000</v>
      </c>
      <c r="H91">
        <v>0.28000000000000003</v>
      </c>
      <c r="I91">
        <v>87040</v>
      </c>
      <c r="J91">
        <v>56682</v>
      </c>
      <c r="K91">
        <v>4933601280</v>
      </c>
    </row>
    <row r="92" spans="1:11" x14ac:dyDescent="0.3">
      <c r="A92" s="8">
        <v>45658</v>
      </c>
      <c r="B92" s="4">
        <v>2025</v>
      </c>
      <c r="C92" s="4">
        <v>1</v>
      </c>
      <c r="D92" s="4" t="s">
        <v>11</v>
      </c>
      <c r="E92" s="4" t="s">
        <v>14</v>
      </c>
      <c r="F92" s="4">
        <v>115</v>
      </c>
      <c r="G92" s="4">
        <v>68000</v>
      </c>
      <c r="H92" s="4">
        <v>0.28000000000000003</v>
      </c>
      <c r="I92" s="4">
        <v>87040</v>
      </c>
      <c r="J92" s="4">
        <v>68159</v>
      </c>
      <c r="K92" s="4">
        <v>5932559360</v>
      </c>
    </row>
    <row r="93" spans="1:11" x14ac:dyDescent="0.3">
      <c r="A93" s="1">
        <v>45689</v>
      </c>
      <c r="B93">
        <v>2025</v>
      </c>
      <c r="C93">
        <v>2</v>
      </c>
      <c r="D93" t="s">
        <v>11</v>
      </c>
      <c r="E93" t="s">
        <v>14</v>
      </c>
      <c r="F93">
        <v>115</v>
      </c>
      <c r="G93">
        <v>68000</v>
      </c>
      <c r="H93">
        <v>0.28000000000000003</v>
      </c>
      <c r="I93">
        <v>87040</v>
      </c>
      <c r="J93">
        <v>62463</v>
      </c>
      <c r="K93">
        <v>5436779520</v>
      </c>
    </row>
    <row r="94" spans="1:11" x14ac:dyDescent="0.3">
      <c r="A94" s="8">
        <v>45717</v>
      </c>
      <c r="B94" s="4">
        <v>2025</v>
      </c>
      <c r="C94" s="4">
        <v>3</v>
      </c>
      <c r="D94" s="4" t="s">
        <v>11</v>
      </c>
      <c r="E94" s="4" t="s">
        <v>14</v>
      </c>
      <c r="F94" s="4">
        <v>115</v>
      </c>
      <c r="G94" s="4">
        <v>68000</v>
      </c>
      <c r="H94" s="4">
        <v>0.28000000000000003</v>
      </c>
      <c r="I94" s="4">
        <v>87040</v>
      </c>
      <c r="J94" s="4">
        <v>66448</v>
      </c>
      <c r="K94" s="4">
        <v>5783633920</v>
      </c>
    </row>
    <row r="95" spans="1:11" x14ac:dyDescent="0.3">
      <c r="A95" s="1">
        <v>45748</v>
      </c>
      <c r="B95">
        <v>2025</v>
      </c>
      <c r="C95">
        <v>4</v>
      </c>
      <c r="D95" t="s">
        <v>11</v>
      </c>
      <c r="E95" t="s">
        <v>14</v>
      </c>
      <c r="F95">
        <v>115</v>
      </c>
      <c r="G95">
        <v>68000</v>
      </c>
      <c r="H95">
        <v>0.28000000000000003</v>
      </c>
      <c r="I95">
        <v>87040</v>
      </c>
      <c r="J95">
        <v>72136</v>
      </c>
      <c r="K95">
        <v>6278717440</v>
      </c>
    </row>
    <row r="96" spans="1:11" x14ac:dyDescent="0.3">
      <c r="A96" s="8">
        <v>45778</v>
      </c>
      <c r="B96" s="4">
        <v>2025</v>
      </c>
      <c r="C96" s="4">
        <v>5</v>
      </c>
      <c r="D96" s="4" t="s">
        <v>11</v>
      </c>
      <c r="E96" s="4" t="s">
        <v>14</v>
      </c>
      <c r="F96" s="4">
        <v>115</v>
      </c>
      <c r="G96" s="4">
        <v>68000</v>
      </c>
      <c r="H96" s="4">
        <v>0.28000000000000003</v>
      </c>
      <c r="I96" s="4">
        <v>87040</v>
      </c>
      <c r="J96" s="4">
        <v>63528</v>
      </c>
      <c r="K96" s="4">
        <v>5529477120</v>
      </c>
    </row>
    <row r="97" spans="1:11" x14ac:dyDescent="0.3">
      <c r="A97" s="1">
        <v>45809</v>
      </c>
      <c r="B97">
        <v>2025</v>
      </c>
      <c r="C97">
        <v>6</v>
      </c>
      <c r="D97" t="s">
        <v>11</v>
      </c>
      <c r="E97" t="s">
        <v>14</v>
      </c>
      <c r="F97">
        <v>115</v>
      </c>
      <c r="G97">
        <v>68000</v>
      </c>
      <c r="H97">
        <v>0.28000000000000003</v>
      </c>
      <c r="I97">
        <v>87040</v>
      </c>
      <c r="J97">
        <v>54947</v>
      </c>
      <c r="K97">
        <v>4782586880</v>
      </c>
    </row>
    <row r="98" spans="1:11" x14ac:dyDescent="0.3">
      <c r="A98" s="8">
        <v>45839</v>
      </c>
      <c r="B98" s="4">
        <v>2025</v>
      </c>
      <c r="C98" s="4">
        <v>7</v>
      </c>
      <c r="D98" s="4" t="s">
        <v>11</v>
      </c>
      <c r="E98" s="4" t="s">
        <v>14</v>
      </c>
      <c r="F98" s="4">
        <v>115</v>
      </c>
      <c r="G98" s="4">
        <v>68000</v>
      </c>
      <c r="H98" s="4">
        <v>0.28000000000000003</v>
      </c>
      <c r="I98" s="4">
        <v>87040</v>
      </c>
      <c r="J98" s="4">
        <v>44642</v>
      </c>
      <c r="K98" s="4">
        <v>3885639680</v>
      </c>
    </row>
    <row r="99" spans="1:11" x14ac:dyDescent="0.3">
      <c r="A99" s="1">
        <v>45870</v>
      </c>
      <c r="B99">
        <v>2025</v>
      </c>
      <c r="C99">
        <v>8</v>
      </c>
      <c r="D99" t="s">
        <v>11</v>
      </c>
      <c r="E99" t="s">
        <v>14</v>
      </c>
      <c r="F99">
        <v>115</v>
      </c>
      <c r="G99">
        <v>68000</v>
      </c>
      <c r="H99">
        <v>0.28000000000000003</v>
      </c>
      <c r="I99">
        <v>87040</v>
      </c>
      <c r="J99">
        <v>50465</v>
      </c>
      <c r="K99">
        <v>4392473600</v>
      </c>
    </row>
    <row r="100" spans="1:11" x14ac:dyDescent="0.3">
      <c r="A100" s="8">
        <v>45901</v>
      </c>
      <c r="B100" s="4">
        <v>2025</v>
      </c>
      <c r="C100" s="4">
        <v>9</v>
      </c>
      <c r="D100" s="4" t="s">
        <v>11</v>
      </c>
      <c r="E100" s="4" t="s">
        <v>14</v>
      </c>
      <c r="F100" s="4">
        <v>115</v>
      </c>
      <c r="G100" s="4">
        <v>68000</v>
      </c>
      <c r="H100" s="4">
        <v>0.28000000000000003</v>
      </c>
      <c r="I100" s="4">
        <v>87040</v>
      </c>
      <c r="J100" s="4">
        <v>54011</v>
      </c>
      <c r="K100" s="4">
        <v>4701117440</v>
      </c>
    </row>
    <row r="101" spans="1:11" x14ac:dyDescent="0.3">
      <c r="A101" s="1">
        <v>44927</v>
      </c>
      <c r="B101">
        <v>2023</v>
      </c>
      <c r="C101">
        <v>1</v>
      </c>
      <c r="D101" t="s">
        <v>11</v>
      </c>
      <c r="E101" t="s">
        <v>15</v>
      </c>
      <c r="F101">
        <v>124</v>
      </c>
      <c r="G101">
        <v>85000</v>
      </c>
      <c r="H101">
        <v>0.28000000000000003</v>
      </c>
      <c r="I101">
        <v>108800</v>
      </c>
      <c r="J101">
        <v>98000</v>
      </c>
      <c r="K101">
        <v>10662400000</v>
      </c>
    </row>
    <row r="102" spans="1:11" x14ac:dyDescent="0.3">
      <c r="A102" s="8">
        <v>44958</v>
      </c>
      <c r="B102" s="4">
        <v>2023</v>
      </c>
      <c r="C102" s="4">
        <v>2</v>
      </c>
      <c r="D102" s="4" t="s">
        <v>11</v>
      </c>
      <c r="E102" s="4" t="s">
        <v>15</v>
      </c>
      <c r="F102" s="4">
        <v>124</v>
      </c>
      <c r="G102" s="4">
        <v>85000</v>
      </c>
      <c r="H102" s="4">
        <v>0.28000000000000003</v>
      </c>
      <c r="I102" s="4">
        <v>108800</v>
      </c>
      <c r="J102" s="4">
        <v>89800</v>
      </c>
      <c r="K102" s="4">
        <v>9770240000</v>
      </c>
    </row>
    <row r="103" spans="1:11" x14ac:dyDescent="0.3">
      <c r="A103" s="1">
        <v>44986</v>
      </c>
      <c r="B103">
        <v>2023</v>
      </c>
      <c r="C103">
        <v>3</v>
      </c>
      <c r="D103" t="s">
        <v>11</v>
      </c>
      <c r="E103" t="s">
        <v>15</v>
      </c>
      <c r="F103">
        <v>124</v>
      </c>
      <c r="G103">
        <v>85000</v>
      </c>
      <c r="H103">
        <v>0.28000000000000003</v>
      </c>
      <c r="I103">
        <v>108800</v>
      </c>
      <c r="J103">
        <v>124599</v>
      </c>
      <c r="K103">
        <v>13556371200</v>
      </c>
    </row>
    <row r="104" spans="1:11" x14ac:dyDescent="0.3">
      <c r="A104" s="8">
        <v>45017</v>
      </c>
      <c r="B104" s="4">
        <v>2023</v>
      </c>
      <c r="C104" s="4">
        <v>4</v>
      </c>
      <c r="D104" s="4" t="s">
        <v>11</v>
      </c>
      <c r="E104" s="4" t="s">
        <v>15</v>
      </c>
      <c r="F104" s="4">
        <v>124</v>
      </c>
      <c r="G104" s="4">
        <v>85000</v>
      </c>
      <c r="H104" s="4">
        <v>0.28000000000000003</v>
      </c>
      <c r="I104" s="4">
        <v>108800</v>
      </c>
      <c r="J104" s="4">
        <v>90680</v>
      </c>
      <c r="K104" s="4">
        <v>9865984000</v>
      </c>
    </row>
    <row r="105" spans="1:11" x14ac:dyDescent="0.3">
      <c r="A105" s="1">
        <v>45047</v>
      </c>
      <c r="B105">
        <v>2023</v>
      </c>
      <c r="C105">
        <v>5</v>
      </c>
      <c r="D105" t="s">
        <v>11</v>
      </c>
      <c r="E105" t="s">
        <v>15</v>
      </c>
      <c r="F105">
        <v>124</v>
      </c>
      <c r="G105">
        <v>85000</v>
      </c>
      <c r="H105">
        <v>0.28000000000000003</v>
      </c>
      <c r="I105">
        <v>108800</v>
      </c>
      <c r="J105">
        <v>90548</v>
      </c>
      <c r="K105">
        <v>9851622400</v>
      </c>
    </row>
    <row r="106" spans="1:11" x14ac:dyDescent="0.3">
      <c r="A106" s="8">
        <v>45078</v>
      </c>
      <c r="B106" s="4">
        <v>2023</v>
      </c>
      <c r="C106" s="4">
        <v>6</v>
      </c>
      <c r="D106" s="4" t="s">
        <v>11</v>
      </c>
      <c r="E106" s="4" t="s">
        <v>15</v>
      </c>
      <c r="F106" s="4">
        <v>124</v>
      </c>
      <c r="G106" s="4">
        <v>85000</v>
      </c>
      <c r="H106" s="4">
        <v>0.28000000000000003</v>
      </c>
      <c r="I106" s="4">
        <v>108800</v>
      </c>
      <c r="J106" s="4">
        <v>80399</v>
      </c>
      <c r="K106" s="4">
        <v>8747411200</v>
      </c>
    </row>
    <row r="107" spans="1:11" x14ac:dyDescent="0.3">
      <c r="A107" s="1">
        <v>45108</v>
      </c>
      <c r="B107">
        <v>2023</v>
      </c>
      <c r="C107">
        <v>7</v>
      </c>
      <c r="D107" t="s">
        <v>11</v>
      </c>
      <c r="E107" t="s">
        <v>15</v>
      </c>
      <c r="F107">
        <v>124</v>
      </c>
      <c r="G107">
        <v>85000</v>
      </c>
      <c r="H107">
        <v>0.28000000000000003</v>
      </c>
      <c r="I107">
        <v>108800</v>
      </c>
      <c r="J107">
        <v>68131</v>
      </c>
      <c r="K107">
        <v>7412652800</v>
      </c>
    </row>
    <row r="108" spans="1:11" x14ac:dyDescent="0.3">
      <c r="A108" s="8">
        <v>45139</v>
      </c>
      <c r="B108" s="4">
        <v>2023</v>
      </c>
      <c r="C108" s="4">
        <v>8</v>
      </c>
      <c r="D108" s="4" t="s">
        <v>11</v>
      </c>
      <c r="E108" s="4" t="s">
        <v>15</v>
      </c>
      <c r="F108" s="4">
        <v>124</v>
      </c>
      <c r="G108" s="4">
        <v>85000</v>
      </c>
      <c r="H108" s="4">
        <v>0.28000000000000003</v>
      </c>
      <c r="I108" s="4">
        <v>108800</v>
      </c>
      <c r="J108" s="4">
        <v>72908</v>
      </c>
      <c r="K108" s="4">
        <v>7932390400</v>
      </c>
    </row>
    <row r="109" spans="1:11" x14ac:dyDescent="0.3">
      <c r="A109" s="1">
        <v>45170</v>
      </c>
      <c r="B109">
        <v>2023</v>
      </c>
      <c r="C109">
        <v>9</v>
      </c>
      <c r="D109" t="s">
        <v>11</v>
      </c>
      <c r="E109" t="s">
        <v>15</v>
      </c>
      <c r="F109">
        <v>124</v>
      </c>
      <c r="G109">
        <v>85000</v>
      </c>
      <c r="H109">
        <v>0.28000000000000003</v>
      </c>
      <c r="I109">
        <v>108800</v>
      </c>
      <c r="J109">
        <v>70544</v>
      </c>
      <c r="K109">
        <v>7675187200</v>
      </c>
    </row>
    <row r="110" spans="1:11" x14ac:dyDescent="0.3">
      <c r="A110" s="8">
        <v>45200</v>
      </c>
      <c r="B110" s="4">
        <v>2023</v>
      </c>
      <c r="C110" s="4">
        <v>10</v>
      </c>
      <c r="D110" s="4" t="s">
        <v>11</v>
      </c>
      <c r="E110" s="4" t="s">
        <v>15</v>
      </c>
      <c r="F110" s="4">
        <v>124</v>
      </c>
      <c r="G110" s="4">
        <v>85000</v>
      </c>
      <c r="H110" s="4">
        <v>0.28000000000000003</v>
      </c>
      <c r="I110" s="4">
        <v>108800</v>
      </c>
      <c r="J110" s="4">
        <v>68903</v>
      </c>
      <c r="K110" s="4">
        <v>7496646400</v>
      </c>
    </row>
    <row r="111" spans="1:11" x14ac:dyDescent="0.3">
      <c r="A111" s="1">
        <v>45231</v>
      </c>
      <c r="B111">
        <v>2023</v>
      </c>
      <c r="C111">
        <v>11</v>
      </c>
      <c r="D111" t="s">
        <v>11</v>
      </c>
      <c r="E111" t="s">
        <v>15</v>
      </c>
      <c r="F111">
        <v>124</v>
      </c>
      <c r="G111">
        <v>85000</v>
      </c>
      <c r="H111">
        <v>0.28000000000000003</v>
      </c>
      <c r="I111">
        <v>108800</v>
      </c>
      <c r="J111">
        <v>68972</v>
      </c>
      <c r="K111">
        <v>7504153600</v>
      </c>
    </row>
    <row r="112" spans="1:11" x14ac:dyDescent="0.3">
      <c r="A112" s="8">
        <v>45261</v>
      </c>
      <c r="B112" s="4">
        <v>2023</v>
      </c>
      <c r="C112" s="4">
        <v>12</v>
      </c>
      <c r="D112" s="4" t="s">
        <v>11</v>
      </c>
      <c r="E112" s="4" t="s">
        <v>15</v>
      </c>
      <c r="F112" s="4">
        <v>124</v>
      </c>
      <c r="G112" s="4">
        <v>85000</v>
      </c>
      <c r="H112" s="4">
        <v>0.28000000000000003</v>
      </c>
      <c r="I112" s="4">
        <v>108800</v>
      </c>
      <c r="J112" s="4">
        <v>81517</v>
      </c>
      <c r="K112" s="4">
        <v>8869049600</v>
      </c>
    </row>
    <row r="113" spans="1:11" x14ac:dyDescent="0.3">
      <c r="A113" s="1">
        <v>45292</v>
      </c>
      <c r="B113">
        <v>2024</v>
      </c>
      <c r="C113">
        <v>1</v>
      </c>
      <c r="D113" t="s">
        <v>11</v>
      </c>
      <c r="E113" t="s">
        <v>15</v>
      </c>
      <c r="F113">
        <v>124</v>
      </c>
      <c r="G113">
        <v>85000</v>
      </c>
      <c r="H113">
        <v>0.28000000000000003</v>
      </c>
      <c r="I113">
        <v>108800</v>
      </c>
      <c r="J113">
        <v>76474</v>
      </c>
      <c r="K113">
        <v>8320371200</v>
      </c>
    </row>
    <row r="114" spans="1:11" x14ac:dyDescent="0.3">
      <c r="A114" s="8">
        <v>45323</v>
      </c>
      <c r="B114" s="4">
        <v>2024</v>
      </c>
      <c r="C114" s="4">
        <v>2</v>
      </c>
      <c r="D114" s="4" t="s">
        <v>11</v>
      </c>
      <c r="E114" s="4" t="s">
        <v>15</v>
      </c>
      <c r="F114" s="4">
        <v>124</v>
      </c>
      <c r="G114" s="4">
        <v>85000</v>
      </c>
      <c r="H114" s="4">
        <v>0.28000000000000003</v>
      </c>
      <c r="I114" s="4">
        <v>108800</v>
      </c>
      <c r="J114" s="4">
        <v>94545</v>
      </c>
      <c r="K114" s="4">
        <v>10286496000</v>
      </c>
    </row>
    <row r="115" spans="1:11" x14ac:dyDescent="0.3">
      <c r="A115" s="1">
        <v>45352</v>
      </c>
      <c r="B115">
        <v>2024</v>
      </c>
      <c r="C115">
        <v>3</v>
      </c>
      <c r="D115" t="s">
        <v>11</v>
      </c>
      <c r="E115" t="s">
        <v>15</v>
      </c>
      <c r="F115">
        <v>124</v>
      </c>
      <c r="G115">
        <v>85000</v>
      </c>
      <c r="H115">
        <v>0.28000000000000003</v>
      </c>
      <c r="I115">
        <v>108800</v>
      </c>
      <c r="J115">
        <v>82207</v>
      </c>
      <c r="K115">
        <v>8944121600</v>
      </c>
    </row>
    <row r="116" spans="1:11" x14ac:dyDescent="0.3">
      <c r="A116" s="8">
        <v>45383</v>
      </c>
      <c r="B116" s="4">
        <v>2024</v>
      </c>
      <c r="C116" s="4">
        <v>4</v>
      </c>
      <c r="D116" s="4" t="s">
        <v>11</v>
      </c>
      <c r="E116" s="4" t="s">
        <v>15</v>
      </c>
      <c r="F116" s="4">
        <v>124</v>
      </c>
      <c r="G116" s="4">
        <v>85000</v>
      </c>
      <c r="H116" s="4">
        <v>0.28000000000000003</v>
      </c>
      <c r="I116" s="4">
        <v>108800</v>
      </c>
      <c r="J116" s="4">
        <v>74345</v>
      </c>
      <c r="K116" s="4">
        <v>8088736000</v>
      </c>
    </row>
    <row r="117" spans="1:11" x14ac:dyDescent="0.3">
      <c r="A117" s="1">
        <v>45413</v>
      </c>
      <c r="B117">
        <v>2024</v>
      </c>
      <c r="C117">
        <v>5</v>
      </c>
      <c r="D117" t="s">
        <v>11</v>
      </c>
      <c r="E117" t="s">
        <v>15</v>
      </c>
      <c r="F117">
        <v>124</v>
      </c>
      <c r="G117">
        <v>85000</v>
      </c>
      <c r="H117">
        <v>0.28000000000000003</v>
      </c>
      <c r="I117">
        <v>108800</v>
      </c>
      <c r="J117">
        <v>84999</v>
      </c>
      <c r="K117">
        <v>9247891200</v>
      </c>
    </row>
    <row r="118" spans="1:11" x14ac:dyDescent="0.3">
      <c r="A118" s="8">
        <v>45444</v>
      </c>
      <c r="B118" s="4">
        <v>2024</v>
      </c>
      <c r="C118" s="4">
        <v>6</v>
      </c>
      <c r="D118" s="4" t="s">
        <v>11</v>
      </c>
      <c r="E118" s="4" t="s">
        <v>15</v>
      </c>
      <c r="F118" s="4">
        <v>124</v>
      </c>
      <c r="G118" s="4">
        <v>85000</v>
      </c>
      <c r="H118" s="4">
        <v>0.28000000000000003</v>
      </c>
      <c r="I118" s="4">
        <v>108800</v>
      </c>
      <c r="J118" s="4">
        <v>80851</v>
      </c>
      <c r="K118" s="4">
        <v>8796588800</v>
      </c>
    </row>
    <row r="119" spans="1:11" x14ac:dyDescent="0.3">
      <c r="A119" s="1">
        <v>45474</v>
      </c>
      <c r="B119">
        <v>2024</v>
      </c>
      <c r="C119">
        <v>7</v>
      </c>
      <c r="D119" t="s">
        <v>11</v>
      </c>
      <c r="E119" t="s">
        <v>15</v>
      </c>
      <c r="F119">
        <v>124</v>
      </c>
      <c r="G119">
        <v>85000</v>
      </c>
      <c r="H119">
        <v>0.28000000000000003</v>
      </c>
      <c r="I119">
        <v>108800</v>
      </c>
      <c r="J119">
        <v>74352</v>
      </c>
      <c r="K119">
        <v>8089497600</v>
      </c>
    </row>
    <row r="120" spans="1:11" x14ac:dyDescent="0.3">
      <c r="A120" s="8">
        <v>45505</v>
      </c>
      <c r="B120" s="4">
        <v>2024</v>
      </c>
      <c r="C120" s="4">
        <v>8</v>
      </c>
      <c r="D120" s="4" t="s">
        <v>11</v>
      </c>
      <c r="E120" s="4" t="s">
        <v>15</v>
      </c>
      <c r="F120" s="4">
        <v>124</v>
      </c>
      <c r="G120" s="4">
        <v>85000</v>
      </c>
      <c r="H120" s="4">
        <v>0.28000000000000003</v>
      </c>
      <c r="I120" s="4">
        <v>108800</v>
      </c>
      <c r="J120" s="4">
        <v>72028</v>
      </c>
      <c r="K120" s="4">
        <v>7836646400</v>
      </c>
    </row>
    <row r="121" spans="1:11" x14ac:dyDescent="0.3">
      <c r="A121" s="1">
        <v>45536</v>
      </c>
      <c r="B121">
        <v>2024</v>
      </c>
      <c r="C121">
        <v>9</v>
      </c>
      <c r="D121" t="s">
        <v>11</v>
      </c>
      <c r="E121" t="s">
        <v>15</v>
      </c>
      <c r="F121">
        <v>124</v>
      </c>
      <c r="G121">
        <v>85000</v>
      </c>
      <c r="H121">
        <v>0.28000000000000003</v>
      </c>
      <c r="I121">
        <v>108800</v>
      </c>
      <c r="J121">
        <v>68578</v>
      </c>
      <c r="K121">
        <v>7461286400</v>
      </c>
    </row>
    <row r="122" spans="1:11" x14ac:dyDescent="0.3">
      <c r="A122" s="8">
        <v>45566</v>
      </c>
      <c r="B122" s="4">
        <v>2024</v>
      </c>
      <c r="C122" s="4">
        <v>10</v>
      </c>
      <c r="D122" s="4" t="s">
        <v>11</v>
      </c>
      <c r="E122" s="4" t="s">
        <v>15</v>
      </c>
      <c r="F122" s="4">
        <v>124</v>
      </c>
      <c r="G122" s="4">
        <v>85000</v>
      </c>
      <c r="H122" s="4">
        <v>0.28000000000000003</v>
      </c>
      <c r="I122" s="4">
        <v>108800</v>
      </c>
      <c r="J122" s="4">
        <v>68245</v>
      </c>
      <c r="K122" s="4">
        <v>7425056000</v>
      </c>
    </row>
    <row r="123" spans="1:11" x14ac:dyDescent="0.3">
      <c r="A123" s="1">
        <v>45597</v>
      </c>
      <c r="B123">
        <v>2024</v>
      </c>
      <c r="C123">
        <v>11</v>
      </c>
      <c r="D123" t="s">
        <v>11</v>
      </c>
      <c r="E123" t="s">
        <v>15</v>
      </c>
      <c r="F123">
        <v>124</v>
      </c>
      <c r="G123">
        <v>85000</v>
      </c>
      <c r="H123">
        <v>0.28000000000000003</v>
      </c>
      <c r="I123">
        <v>108800</v>
      </c>
      <c r="J123">
        <v>74900</v>
      </c>
      <c r="K123">
        <v>8149120000</v>
      </c>
    </row>
    <row r="124" spans="1:11" x14ac:dyDescent="0.3">
      <c r="A124" s="8">
        <v>45627</v>
      </c>
      <c r="B124" s="4">
        <v>2024</v>
      </c>
      <c r="C124" s="4">
        <v>12</v>
      </c>
      <c r="D124" s="4" t="s">
        <v>11</v>
      </c>
      <c r="E124" s="4" t="s">
        <v>15</v>
      </c>
      <c r="F124" s="4">
        <v>124</v>
      </c>
      <c r="G124" s="4">
        <v>85000</v>
      </c>
      <c r="H124" s="4">
        <v>0.28000000000000003</v>
      </c>
      <c r="I124" s="4">
        <v>108800</v>
      </c>
      <c r="J124" s="4">
        <v>72609</v>
      </c>
      <c r="K124" s="4">
        <v>7899859200</v>
      </c>
    </row>
    <row r="125" spans="1:11" x14ac:dyDescent="0.3">
      <c r="A125" s="1">
        <v>45658</v>
      </c>
      <c r="B125">
        <v>2025</v>
      </c>
      <c r="C125">
        <v>1</v>
      </c>
      <c r="D125" t="s">
        <v>11</v>
      </c>
      <c r="E125" t="s">
        <v>15</v>
      </c>
      <c r="F125">
        <v>124</v>
      </c>
      <c r="G125">
        <v>85000</v>
      </c>
      <c r="H125">
        <v>0.28000000000000003</v>
      </c>
      <c r="I125">
        <v>108800</v>
      </c>
      <c r="J125">
        <v>83160</v>
      </c>
      <c r="K125">
        <v>9047808000</v>
      </c>
    </row>
    <row r="126" spans="1:11" x14ac:dyDescent="0.3">
      <c r="A126" s="8">
        <v>45689</v>
      </c>
      <c r="B126" s="4">
        <v>2025</v>
      </c>
      <c r="C126" s="4">
        <v>2</v>
      </c>
      <c r="D126" s="4" t="s">
        <v>11</v>
      </c>
      <c r="E126" s="4" t="s">
        <v>15</v>
      </c>
      <c r="F126" s="4">
        <v>124</v>
      </c>
      <c r="G126" s="4">
        <v>85000</v>
      </c>
      <c r="H126" s="4">
        <v>0.28000000000000003</v>
      </c>
      <c r="I126" s="4">
        <v>108800</v>
      </c>
      <c r="J126" s="4">
        <v>88075</v>
      </c>
      <c r="K126" s="4">
        <v>9582560000</v>
      </c>
    </row>
    <row r="127" spans="1:11" x14ac:dyDescent="0.3">
      <c r="A127" s="1">
        <v>45717</v>
      </c>
      <c r="B127">
        <v>2025</v>
      </c>
      <c r="C127">
        <v>3</v>
      </c>
      <c r="D127" t="s">
        <v>11</v>
      </c>
      <c r="E127" t="s">
        <v>15</v>
      </c>
      <c r="F127">
        <v>124</v>
      </c>
      <c r="G127">
        <v>85000</v>
      </c>
      <c r="H127">
        <v>0.28000000000000003</v>
      </c>
      <c r="I127">
        <v>108800</v>
      </c>
      <c r="J127">
        <v>85857</v>
      </c>
      <c r="K127">
        <v>9341241600</v>
      </c>
    </row>
    <row r="128" spans="1:11" x14ac:dyDescent="0.3">
      <c r="A128" s="8">
        <v>45748</v>
      </c>
      <c r="B128" s="4">
        <v>2025</v>
      </c>
      <c r="C128" s="4">
        <v>4</v>
      </c>
      <c r="D128" s="4" t="s">
        <v>11</v>
      </c>
      <c r="E128" s="4" t="s">
        <v>15</v>
      </c>
      <c r="F128" s="4">
        <v>124</v>
      </c>
      <c r="G128" s="4">
        <v>85000</v>
      </c>
      <c r="H128" s="4">
        <v>0.28000000000000003</v>
      </c>
      <c r="I128" s="4">
        <v>108800</v>
      </c>
      <c r="J128" s="4">
        <v>82714</v>
      </c>
      <c r="K128" s="4">
        <v>8999283200</v>
      </c>
    </row>
    <row r="129" spans="1:11" x14ac:dyDescent="0.3">
      <c r="A129" s="1">
        <v>45778</v>
      </c>
      <c r="B129">
        <v>2025</v>
      </c>
      <c r="C129">
        <v>5</v>
      </c>
      <c r="D129" t="s">
        <v>11</v>
      </c>
      <c r="E129" t="s">
        <v>15</v>
      </c>
      <c r="F129">
        <v>124</v>
      </c>
      <c r="G129">
        <v>85000</v>
      </c>
      <c r="H129">
        <v>0.28000000000000003</v>
      </c>
      <c r="I129">
        <v>108800</v>
      </c>
      <c r="J129">
        <v>76741</v>
      </c>
      <c r="K129">
        <v>8349420800</v>
      </c>
    </row>
    <row r="130" spans="1:11" x14ac:dyDescent="0.3">
      <c r="A130" s="8">
        <v>45809</v>
      </c>
      <c r="B130" s="4">
        <v>2025</v>
      </c>
      <c r="C130" s="4">
        <v>6</v>
      </c>
      <c r="D130" s="4" t="s">
        <v>11</v>
      </c>
      <c r="E130" s="4" t="s">
        <v>15</v>
      </c>
      <c r="F130" s="4">
        <v>124</v>
      </c>
      <c r="G130" s="4">
        <v>85000</v>
      </c>
      <c r="H130" s="4">
        <v>0.28000000000000003</v>
      </c>
      <c r="I130" s="4">
        <v>108800</v>
      </c>
      <c r="J130" s="4">
        <v>72670</v>
      </c>
      <c r="K130" s="4">
        <v>7906496000</v>
      </c>
    </row>
    <row r="131" spans="1:11" x14ac:dyDescent="0.3">
      <c r="A131" s="1">
        <v>45839</v>
      </c>
      <c r="B131">
        <v>2025</v>
      </c>
      <c r="C131">
        <v>7</v>
      </c>
      <c r="D131" t="s">
        <v>11</v>
      </c>
      <c r="E131" t="s">
        <v>15</v>
      </c>
      <c r="F131">
        <v>124</v>
      </c>
      <c r="G131">
        <v>85000</v>
      </c>
      <c r="H131">
        <v>0.28000000000000003</v>
      </c>
      <c r="I131">
        <v>108800</v>
      </c>
      <c r="J131">
        <v>69409</v>
      </c>
      <c r="K131">
        <v>7551699200</v>
      </c>
    </row>
    <row r="132" spans="1:11" x14ac:dyDescent="0.3">
      <c r="A132" s="8">
        <v>45870</v>
      </c>
      <c r="B132" s="4">
        <v>2025</v>
      </c>
      <c r="C132" s="4">
        <v>8</v>
      </c>
      <c r="D132" s="4" t="s">
        <v>11</v>
      </c>
      <c r="E132" s="4" t="s">
        <v>15</v>
      </c>
      <c r="F132" s="4">
        <v>124</v>
      </c>
      <c r="G132" s="4">
        <v>85000</v>
      </c>
      <c r="H132" s="4">
        <v>0.28000000000000003</v>
      </c>
      <c r="I132" s="4">
        <v>108800</v>
      </c>
      <c r="J132" s="4">
        <v>76636</v>
      </c>
      <c r="K132" s="4">
        <v>8337996800</v>
      </c>
    </row>
    <row r="133" spans="1:11" x14ac:dyDescent="0.3">
      <c r="A133" s="1">
        <v>45901</v>
      </c>
      <c r="B133">
        <v>2025</v>
      </c>
      <c r="C133">
        <v>9</v>
      </c>
      <c r="D133" t="s">
        <v>11</v>
      </c>
      <c r="E133" t="s">
        <v>15</v>
      </c>
      <c r="F133">
        <v>124</v>
      </c>
      <c r="G133">
        <v>85000</v>
      </c>
      <c r="H133">
        <v>0.28000000000000003</v>
      </c>
      <c r="I133">
        <v>108800</v>
      </c>
      <c r="J133">
        <v>77165</v>
      </c>
      <c r="K133">
        <v>8395552000</v>
      </c>
    </row>
    <row r="134" spans="1:11" x14ac:dyDescent="0.3">
      <c r="A134" s="8">
        <v>44927</v>
      </c>
      <c r="B134" s="4">
        <v>2023</v>
      </c>
      <c r="C134" s="4">
        <v>1</v>
      </c>
      <c r="D134" s="4" t="s">
        <v>11</v>
      </c>
      <c r="E134" s="4" t="s">
        <v>16</v>
      </c>
      <c r="F134" s="4">
        <v>149</v>
      </c>
      <c r="G134" s="4">
        <v>110000</v>
      </c>
      <c r="H134" s="4">
        <v>0.28000000000000003</v>
      </c>
      <c r="I134" s="4">
        <v>140800</v>
      </c>
      <c r="J134" s="4">
        <v>79204</v>
      </c>
      <c r="K134" s="4">
        <v>11151923200</v>
      </c>
    </row>
    <row r="135" spans="1:11" x14ac:dyDescent="0.3">
      <c r="A135" s="1">
        <v>44958</v>
      </c>
      <c r="B135">
        <v>2023</v>
      </c>
      <c r="C135">
        <v>2</v>
      </c>
      <c r="D135" t="s">
        <v>11</v>
      </c>
      <c r="E135" t="s">
        <v>16</v>
      </c>
      <c r="F135">
        <v>149</v>
      </c>
      <c r="G135">
        <v>110000</v>
      </c>
      <c r="H135">
        <v>0.28000000000000003</v>
      </c>
      <c r="I135">
        <v>140800</v>
      </c>
      <c r="J135">
        <v>81325</v>
      </c>
      <c r="K135">
        <v>11450560000</v>
      </c>
    </row>
    <row r="136" spans="1:11" x14ac:dyDescent="0.3">
      <c r="A136" s="8">
        <v>44986</v>
      </c>
      <c r="B136" s="4">
        <v>2023</v>
      </c>
      <c r="C136" s="4">
        <v>3</v>
      </c>
      <c r="D136" s="4" t="s">
        <v>11</v>
      </c>
      <c r="E136" s="4" t="s">
        <v>16</v>
      </c>
      <c r="F136" s="4">
        <v>149</v>
      </c>
      <c r="G136" s="4">
        <v>110000</v>
      </c>
      <c r="H136" s="4">
        <v>0.28000000000000003</v>
      </c>
      <c r="I136" s="4">
        <v>140800</v>
      </c>
      <c r="J136" s="4">
        <v>81737</v>
      </c>
      <c r="K136" s="4">
        <v>11508569600</v>
      </c>
    </row>
    <row r="137" spans="1:11" x14ac:dyDescent="0.3">
      <c r="A137" s="1">
        <v>45017</v>
      </c>
      <c r="B137">
        <v>2023</v>
      </c>
      <c r="C137">
        <v>4</v>
      </c>
      <c r="D137" t="s">
        <v>11</v>
      </c>
      <c r="E137" t="s">
        <v>16</v>
      </c>
      <c r="F137">
        <v>149</v>
      </c>
      <c r="G137">
        <v>110000</v>
      </c>
      <c r="H137">
        <v>0.28000000000000003</v>
      </c>
      <c r="I137">
        <v>140800</v>
      </c>
      <c r="J137">
        <v>77524</v>
      </c>
      <c r="K137">
        <v>10915379200</v>
      </c>
    </row>
    <row r="138" spans="1:11" x14ac:dyDescent="0.3">
      <c r="A138" s="8">
        <v>45047</v>
      </c>
      <c r="B138" s="4">
        <v>2023</v>
      </c>
      <c r="C138" s="4">
        <v>5</v>
      </c>
      <c r="D138" s="4" t="s">
        <v>11</v>
      </c>
      <c r="E138" s="4" t="s">
        <v>16</v>
      </c>
      <c r="F138" s="4">
        <v>149</v>
      </c>
      <c r="G138" s="4">
        <v>110000</v>
      </c>
      <c r="H138" s="4">
        <v>0.28000000000000003</v>
      </c>
      <c r="I138" s="4">
        <v>140800</v>
      </c>
      <c r="J138" s="4">
        <v>71252</v>
      </c>
      <c r="K138" s="4">
        <v>10032281600</v>
      </c>
    </row>
    <row r="139" spans="1:11" x14ac:dyDescent="0.3">
      <c r="A139" s="1">
        <v>45078</v>
      </c>
      <c r="B139">
        <v>2023</v>
      </c>
      <c r="C139">
        <v>6</v>
      </c>
      <c r="D139" t="s">
        <v>11</v>
      </c>
      <c r="E139" t="s">
        <v>16</v>
      </c>
      <c r="F139">
        <v>149</v>
      </c>
      <c r="G139">
        <v>110000</v>
      </c>
      <c r="H139">
        <v>0.28000000000000003</v>
      </c>
      <c r="I139">
        <v>140800</v>
      </c>
      <c r="J139">
        <v>63454</v>
      </c>
      <c r="K139">
        <v>8934323200</v>
      </c>
    </row>
    <row r="140" spans="1:11" x14ac:dyDescent="0.3">
      <c r="A140" s="8">
        <v>45108</v>
      </c>
      <c r="B140" s="4">
        <v>2023</v>
      </c>
      <c r="C140" s="4">
        <v>7</v>
      </c>
      <c r="D140" s="4" t="s">
        <v>11</v>
      </c>
      <c r="E140" s="4" t="s">
        <v>16</v>
      </c>
      <c r="F140" s="4">
        <v>149</v>
      </c>
      <c r="G140" s="4">
        <v>110000</v>
      </c>
      <c r="H140" s="4">
        <v>0.28000000000000003</v>
      </c>
      <c r="I140" s="4">
        <v>140800</v>
      </c>
      <c r="J140" s="4">
        <v>76583</v>
      </c>
      <c r="K140" s="4">
        <v>10782886400</v>
      </c>
    </row>
    <row r="141" spans="1:11" x14ac:dyDescent="0.3">
      <c r="A141" s="1">
        <v>45139</v>
      </c>
      <c r="B141">
        <v>2023</v>
      </c>
      <c r="C141">
        <v>8</v>
      </c>
      <c r="D141" t="s">
        <v>11</v>
      </c>
      <c r="E141" t="s">
        <v>16</v>
      </c>
      <c r="F141">
        <v>149</v>
      </c>
      <c r="G141">
        <v>110000</v>
      </c>
      <c r="H141">
        <v>0.28000000000000003</v>
      </c>
      <c r="I141">
        <v>140800</v>
      </c>
      <c r="J141">
        <v>69648</v>
      </c>
      <c r="K141">
        <v>9806438400</v>
      </c>
    </row>
    <row r="142" spans="1:11" x14ac:dyDescent="0.3">
      <c r="A142" s="8">
        <v>45170</v>
      </c>
      <c r="B142" s="4">
        <v>2023</v>
      </c>
      <c r="C142" s="4">
        <v>9</v>
      </c>
      <c r="D142" s="4" t="s">
        <v>11</v>
      </c>
      <c r="E142" s="4" t="s">
        <v>16</v>
      </c>
      <c r="F142" s="4">
        <v>149</v>
      </c>
      <c r="G142" s="4">
        <v>110000</v>
      </c>
      <c r="H142" s="4">
        <v>0.28000000000000003</v>
      </c>
      <c r="I142" s="4">
        <v>140800</v>
      </c>
      <c r="J142" s="4">
        <v>71964</v>
      </c>
      <c r="K142" s="4">
        <v>10132531200</v>
      </c>
    </row>
    <row r="143" spans="1:11" x14ac:dyDescent="0.3">
      <c r="A143" s="1">
        <v>45200</v>
      </c>
      <c r="B143">
        <v>2023</v>
      </c>
      <c r="C143">
        <v>10</v>
      </c>
      <c r="D143" t="s">
        <v>11</v>
      </c>
      <c r="E143" t="s">
        <v>16</v>
      </c>
      <c r="F143">
        <v>149</v>
      </c>
      <c r="G143">
        <v>110000</v>
      </c>
      <c r="H143">
        <v>0.28000000000000003</v>
      </c>
      <c r="I143">
        <v>140800</v>
      </c>
      <c r="J143">
        <v>68780</v>
      </c>
      <c r="K143">
        <v>9684224000</v>
      </c>
    </row>
    <row r="144" spans="1:11" x14ac:dyDescent="0.3">
      <c r="A144" s="8">
        <v>45231</v>
      </c>
      <c r="B144" s="4">
        <v>2023</v>
      </c>
      <c r="C144" s="4">
        <v>11</v>
      </c>
      <c r="D144" s="4" t="s">
        <v>11</v>
      </c>
      <c r="E144" s="4" t="s">
        <v>16</v>
      </c>
      <c r="F144" s="4">
        <v>149</v>
      </c>
      <c r="G144" s="4">
        <v>110000</v>
      </c>
      <c r="H144" s="4">
        <v>0.28000000000000003</v>
      </c>
      <c r="I144" s="4">
        <v>140800</v>
      </c>
      <c r="J144" s="4">
        <v>67816</v>
      </c>
      <c r="K144" s="4">
        <v>9548492800</v>
      </c>
    </row>
    <row r="145" spans="1:11" x14ac:dyDescent="0.3">
      <c r="A145" s="1">
        <v>45261</v>
      </c>
      <c r="B145">
        <v>2023</v>
      </c>
      <c r="C145">
        <v>12</v>
      </c>
      <c r="D145" t="s">
        <v>11</v>
      </c>
      <c r="E145" t="s">
        <v>16</v>
      </c>
      <c r="F145">
        <v>149</v>
      </c>
      <c r="G145">
        <v>110000</v>
      </c>
      <c r="H145">
        <v>0.28000000000000003</v>
      </c>
      <c r="I145">
        <v>140800</v>
      </c>
      <c r="J145">
        <v>71623</v>
      </c>
      <c r="K145">
        <v>10084518400</v>
      </c>
    </row>
    <row r="146" spans="1:11" x14ac:dyDescent="0.3">
      <c r="A146" s="8">
        <v>45292</v>
      </c>
      <c r="B146" s="4">
        <v>2024</v>
      </c>
      <c r="C146" s="4">
        <v>1</v>
      </c>
      <c r="D146" s="4" t="s">
        <v>11</v>
      </c>
      <c r="E146" s="4" t="s">
        <v>16</v>
      </c>
      <c r="F146" s="4">
        <v>149</v>
      </c>
      <c r="G146" s="4">
        <v>110000</v>
      </c>
      <c r="H146" s="4">
        <v>0.28000000000000003</v>
      </c>
      <c r="I146" s="4">
        <v>140800</v>
      </c>
      <c r="J146" s="4">
        <v>85366</v>
      </c>
      <c r="K146" s="4">
        <v>12019532800</v>
      </c>
    </row>
    <row r="147" spans="1:11" x14ac:dyDescent="0.3">
      <c r="A147" s="1">
        <v>45323</v>
      </c>
      <c r="B147">
        <v>2024</v>
      </c>
      <c r="C147">
        <v>2</v>
      </c>
      <c r="D147" t="s">
        <v>11</v>
      </c>
      <c r="E147" t="s">
        <v>16</v>
      </c>
      <c r="F147">
        <v>149</v>
      </c>
      <c r="G147">
        <v>110000</v>
      </c>
      <c r="H147">
        <v>0.28000000000000003</v>
      </c>
      <c r="I147">
        <v>140800</v>
      </c>
      <c r="J147">
        <v>85768</v>
      </c>
      <c r="K147">
        <v>12076134400</v>
      </c>
    </row>
    <row r="148" spans="1:11" x14ac:dyDescent="0.3">
      <c r="A148" s="8">
        <v>45352</v>
      </c>
      <c r="B148" s="4">
        <v>2024</v>
      </c>
      <c r="C148" s="4">
        <v>3</v>
      </c>
      <c r="D148" s="4" t="s">
        <v>11</v>
      </c>
      <c r="E148" s="4" t="s">
        <v>16</v>
      </c>
      <c r="F148" s="4">
        <v>149</v>
      </c>
      <c r="G148" s="4">
        <v>110000</v>
      </c>
      <c r="H148" s="4">
        <v>0.28000000000000003</v>
      </c>
      <c r="I148" s="4">
        <v>140800</v>
      </c>
      <c r="J148" s="4">
        <v>109429</v>
      </c>
      <c r="K148" s="4">
        <v>15407603200</v>
      </c>
    </row>
    <row r="149" spans="1:11" x14ac:dyDescent="0.3">
      <c r="A149" s="1">
        <v>45383</v>
      </c>
      <c r="B149">
        <v>2024</v>
      </c>
      <c r="C149">
        <v>4</v>
      </c>
      <c r="D149" t="s">
        <v>11</v>
      </c>
      <c r="E149" t="s">
        <v>16</v>
      </c>
      <c r="F149">
        <v>149</v>
      </c>
      <c r="G149">
        <v>110000</v>
      </c>
      <c r="H149">
        <v>0.28000000000000003</v>
      </c>
      <c r="I149">
        <v>140800</v>
      </c>
      <c r="J149">
        <v>87132</v>
      </c>
      <c r="K149">
        <v>12268185600</v>
      </c>
    </row>
    <row r="150" spans="1:11" x14ac:dyDescent="0.3">
      <c r="A150" s="8">
        <v>45413</v>
      </c>
      <c r="B150" s="4">
        <v>2024</v>
      </c>
      <c r="C150" s="4">
        <v>5</v>
      </c>
      <c r="D150" s="4" t="s">
        <v>11</v>
      </c>
      <c r="E150" s="4" t="s">
        <v>16</v>
      </c>
      <c r="F150" s="4">
        <v>149</v>
      </c>
      <c r="G150" s="4">
        <v>110000</v>
      </c>
      <c r="H150" s="4">
        <v>0.28000000000000003</v>
      </c>
      <c r="I150" s="4">
        <v>140800</v>
      </c>
      <c r="J150" s="4">
        <v>86655</v>
      </c>
      <c r="K150" s="4">
        <v>12201024000</v>
      </c>
    </row>
    <row r="151" spans="1:11" x14ac:dyDescent="0.3">
      <c r="A151" s="1">
        <v>45444</v>
      </c>
      <c r="B151">
        <v>2024</v>
      </c>
      <c r="C151">
        <v>6</v>
      </c>
      <c r="D151" t="s">
        <v>11</v>
      </c>
      <c r="E151" t="s">
        <v>16</v>
      </c>
      <c r="F151">
        <v>149</v>
      </c>
      <c r="G151">
        <v>110000</v>
      </c>
      <c r="H151">
        <v>0.28000000000000003</v>
      </c>
      <c r="I151">
        <v>140800</v>
      </c>
      <c r="J151">
        <v>76687</v>
      </c>
      <c r="K151">
        <v>10797529600</v>
      </c>
    </row>
    <row r="152" spans="1:11" x14ac:dyDescent="0.3">
      <c r="A152" s="8">
        <v>45474</v>
      </c>
      <c r="B152" s="4">
        <v>2024</v>
      </c>
      <c r="C152" s="4">
        <v>7</v>
      </c>
      <c r="D152" s="4" t="s">
        <v>11</v>
      </c>
      <c r="E152" s="4" t="s">
        <v>16</v>
      </c>
      <c r="F152" s="4">
        <v>149</v>
      </c>
      <c r="G152" s="4">
        <v>110000</v>
      </c>
      <c r="H152" s="4">
        <v>0.28000000000000003</v>
      </c>
      <c r="I152" s="4">
        <v>140800</v>
      </c>
      <c r="J152" s="4">
        <v>62259</v>
      </c>
      <c r="K152" s="4">
        <v>8766067200</v>
      </c>
    </row>
    <row r="153" spans="1:11" x14ac:dyDescent="0.3">
      <c r="A153" s="1">
        <v>45505</v>
      </c>
      <c r="B153">
        <v>2024</v>
      </c>
      <c r="C153">
        <v>8</v>
      </c>
      <c r="D153" t="s">
        <v>11</v>
      </c>
      <c r="E153" t="s">
        <v>16</v>
      </c>
      <c r="F153">
        <v>149</v>
      </c>
      <c r="G153">
        <v>110000</v>
      </c>
      <c r="H153">
        <v>0.28000000000000003</v>
      </c>
      <c r="I153">
        <v>140800</v>
      </c>
      <c r="J153">
        <v>63131</v>
      </c>
      <c r="K153">
        <v>8888844800</v>
      </c>
    </row>
    <row r="154" spans="1:11" x14ac:dyDescent="0.3">
      <c r="A154" s="8">
        <v>45536</v>
      </c>
      <c r="B154" s="4">
        <v>2024</v>
      </c>
      <c r="C154" s="4">
        <v>9</v>
      </c>
      <c r="D154" s="4" t="s">
        <v>11</v>
      </c>
      <c r="E154" s="4" t="s">
        <v>16</v>
      </c>
      <c r="F154" s="4">
        <v>149</v>
      </c>
      <c r="G154" s="4">
        <v>110000</v>
      </c>
      <c r="H154" s="4">
        <v>0.28000000000000003</v>
      </c>
      <c r="I154" s="4">
        <v>140800</v>
      </c>
      <c r="J154" s="4">
        <v>68257</v>
      </c>
      <c r="K154" s="4">
        <v>9610585600</v>
      </c>
    </row>
    <row r="155" spans="1:11" x14ac:dyDescent="0.3">
      <c r="A155" s="1">
        <v>45566</v>
      </c>
      <c r="B155">
        <v>2024</v>
      </c>
      <c r="C155">
        <v>10</v>
      </c>
      <c r="D155" t="s">
        <v>11</v>
      </c>
      <c r="E155" t="s">
        <v>16</v>
      </c>
      <c r="F155">
        <v>149</v>
      </c>
      <c r="G155">
        <v>110000</v>
      </c>
      <c r="H155">
        <v>0.28000000000000003</v>
      </c>
      <c r="I155">
        <v>140800</v>
      </c>
      <c r="J155">
        <v>69422</v>
      </c>
      <c r="K155">
        <v>9774617600</v>
      </c>
    </row>
    <row r="156" spans="1:11" x14ac:dyDescent="0.3">
      <c r="A156" s="8">
        <v>45597</v>
      </c>
      <c r="B156" s="4">
        <v>2024</v>
      </c>
      <c r="C156" s="4">
        <v>11</v>
      </c>
      <c r="D156" s="4" t="s">
        <v>11</v>
      </c>
      <c r="E156" s="4" t="s">
        <v>16</v>
      </c>
      <c r="F156" s="4">
        <v>149</v>
      </c>
      <c r="G156" s="4">
        <v>110000</v>
      </c>
      <c r="H156" s="4">
        <v>0.28000000000000003</v>
      </c>
      <c r="I156" s="4">
        <v>140800</v>
      </c>
      <c r="J156" s="4">
        <v>70216</v>
      </c>
      <c r="K156" s="4">
        <v>9886412800</v>
      </c>
    </row>
    <row r="157" spans="1:11" x14ac:dyDescent="0.3">
      <c r="A157" s="1">
        <v>45627</v>
      </c>
      <c r="B157">
        <v>2024</v>
      </c>
      <c r="C157">
        <v>12</v>
      </c>
      <c r="D157" t="s">
        <v>11</v>
      </c>
      <c r="E157" t="s">
        <v>16</v>
      </c>
      <c r="F157">
        <v>149</v>
      </c>
      <c r="G157">
        <v>110000</v>
      </c>
      <c r="H157">
        <v>0.28000000000000003</v>
      </c>
      <c r="I157">
        <v>140800</v>
      </c>
      <c r="J157">
        <v>73317</v>
      </c>
      <c r="K157">
        <v>10323033600</v>
      </c>
    </row>
    <row r="158" spans="1:11" x14ac:dyDescent="0.3">
      <c r="A158" s="8">
        <v>45658</v>
      </c>
      <c r="B158" s="4">
        <v>2025</v>
      </c>
      <c r="C158" s="4">
        <v>1</v>
      </c>
      <c r="D158" s="4" t="s">
        <v>11</v>
      </c>
      <c r="E158" s="4" t="s">
        <v>16</v>
      </c>
      <c r="F158" s="4">
        <v>149</v>
      </c>
      <c r="G158" s="4">
        <v>110000</v>
      </c>
      <c r="H158" s="4">
        <v>0.28000000000000003</v>
      </c>
      <c r="I158" s="4">
        <v>140800</v>
      </c>
      <c r="J158" s="4">
        <v>89349</v>
      </c>
      <c r="K158" s="4">
        <v>12580339200</v>
      </c>
    </row>
    <row r="159" spans="1:11" x14ac:dyDescent="0.3">
      <c r="A159" s="1">
        <v>45689</v>
      </c>
      <c r="B159">
        <v>2025</v>
      </c>
      <c r="C159">
        <v>2</v>
      </c>
      <c r="D159" t="s">
        <v>11</v>
      </c>
      <c r="E159" t="s">
        <v>16</v>
      </c>
      <c r="F159">
        <v>149</v>
      </c>
      <c r="G159">
        <v>110000</v>
      </c>
      <c r="H159">
        <v>0.28000000000000003</v>
      </c>
      <c r="I159">
        <v>140800</v>
      </c>
      <c r="J159">
        <v>78626</v>
      </c>
      <c r="K159">
        <v>11070540800</v>
      </c>
    </row>
    <row r="160" spans="1:11" x14ac:dyDescent="0.3">
      <c r="A160" s="8">
        <v>45717</v>
      </c>
      <c r="B160" s="4">
        <v>2025</v>
      </c>
      <c r="C160" s="4">
        <v>3</v>
      </c>
      <c r="D160" s="4" t="s">
        <v>11</v>
      </c>
      <c r="E160" s="4" t="s">
        <v>16</v>
      </c>
      <c r="F160" s="4">
        <v>149</v>
      </c>
      <c r="G160" s="4">
        <v>110000</v>
      </c>
      <c r="H160" s="4">
        <v>0.28000000000000003</v>
      </c>
      <c r="I160" s="4">
        <v>140800</v>
      </c>
      <c r="J160" s="4">
        <v>78794</v>
      </c>
      <c r="K160" s="4">
        <v>11094195200</v>
      </c>
    </row>
    <row r="161" spans="1:11" x14ac:dyDescent="0.3">
      <c r="A161" s="1">
        <v>45748</v>
      </c>
      <c r="B161">
        <v>2025</v>
      </c>
      <c r="C161">
        <v>4</v>
      </c>
      <c r="D161" t="s">
        <v>11</v>
      </c>
      <c r="E161" t="s">
        <v>16</v>
      </c>
      <c r="F161">
        <v>149</v>
      </c>
      <c r="G161">
        <v>110000</v>
      </c>
      <c r="H161">
        <v>0.28000000000000003</v>
      </c>
      <c r="I161">
        <v>140800</v>
      </c>
      <c r="J161">
        <v>84396</v>
      </c>
      <c r="K161">
        <v>11882956800</v>
      </c>
    </row>
    <row r="162" spans="1:11" x14ac:dyDescent="0.3">
      <c r="A162" s="8">
        <v>45778</v>
      </c>
      <c r="B162" s="4">
        <v>2025</v>
      </c>
      <c r="C162" s="4">
        <v>5</v>
      </c>
      <c r="D162" s="4" t="s">
        <v>11</v>
      </c>
      <c r="E162" s="4" t="s">
        <v>16</v>
      </c>
      <c r="F162" s="4">
        <v>149</v>
      </c>
      <c r="G162" s="4">
        <v>110000</v>
      </c>
      <c r="H162" s="4">
        <v>0.28000000000000003</v>
      </c>
      <c r="I162" s="4">
        <v>140800</v>
      </c>
      <c r="J162" s="4">
        <v>79339</v>
      </c>
      <c r="K162" s="4">
        <v>11170931200</v>
      </c>
    </row>
    <row r="163" spans="1:11" x14ac:dyDescent="0.3">
      <c r="A163" s="1">
        <v>45809</v>
      </c>
      <c r="B163">
        <v>2025</v>
      </c>
      <c r="C163">
        <v>6</v>
      </c>
      <c r="D163" t="s">
        <v>11</v>
      </c>
      <c r="E163" t="s">
        <v>16</v>
      </c>
      <c r="F163">
        <v>149</v>
      </c>
      <c r="G163">
        <v>110000</v>
      </c>
      <c r="H163">
        <v>0.28000000000000003</v>
      </c>
      <c r="I163">
        <v>140800</v>
      </c>
      <c r="J163">
        <v>78133</v>
      </c>
      <c r="K163">
        <v>11001126400</v>
      </c>
    </row>
    <row r="164" spans="1:11" x14ac:dyDescent="0.3">
      <c r="A164" s="8">
        <v>45839</v>
      </c>
      <c r="B164" s="4">
        <v>2025</v>
      </c>
      <c r="C164" s="4">
        <v>7</v>
      </c>
      <c r="D164" s="4" t="s">
        <v>11</v>
      </c>
      <c r="E164" s="4" t="s">
        <v>16</v>
      </c>
      <c r="F164" s="4">
        <v>149</v>
      </c>
      <c r="G164" s="4">
        <v>110000</v>
      </c>
      <c r="H164" s="4">
        <v>0.28000000000000003</v>
      </c>
      <c r="I164" s="4">
        <v>140800</v>
      </c>
      <c r="J164" s="4">
        <v>67763</v>
      </c>
      <c r="K164" s="4">
        <v>9541030400</v>
      </c>
    </row>
    <row r="165" spans="1:11" x14ac:dyDescent="0.3">
      <c r="A165" s="1">
        <v>45870</v>
      </c>
      <c r="B165">
        <v>2025</v>
      </c>
      <c r="C165">
        <v>8</v>
      </c>
      <c r="D165" t="s">
        <v>11</v>
      </c>
      <c r="E165" t="s">
        <v>16</v>
      </c>
      <c r="F165">
        <v>149</v>
      </c>
      <c r="G165">
        <v>110000</v>
      </c>
      <c r="H165">
        <v>0.28000000000000003</v>
      </c>
      <c r="I165">
        <v>140800</v>
      </c>
      <c r="J165">
        <v>69188</v>
      </c>
      <c r="K165">
        <v>9741670400</v>
      </c>
    </row>
    <row r="166" spans="1:11" x14ac:dyDescent="0.3">
      <c r="A166" s="8">
        <v>45901</v>
      </c>
      <c r="B166" s="4">
        <v>2025</v>
      </c>
      <c r="C166" s="4">
        <v>9</v>
      </c>
      <c r="D166" s="4" t="s">
        <v>11</v>
      </c>
      <c r="E166" s="4" t="s">
        <v>16</v>
      </c>
      <c r="F166" s="4">
        <v>149</v>
      </c>
      <c r="G166" s="4">
        <v>110000</v>
      </c>
      <c r="H166" s="4">
        <v>0.28000000000000003</v>
      </c>
      <c r="I166" s="4">
        <v>140800</v>
      </c>
      <c r="J166" s="4">
        <v>55188</v>
      </c>
      <c r="K166" s="4">
        <v>7770470400</v>
      </c>
    </row>
    <row r="167" spans="1:11" x14ac:dyDescent="0.3">
      <c r="A167" s="1">
        <v>44927</v>
      </c>
      <c r="B167">
        <v>2023</v>
      </c>
      <c r="C167">
        <v>1</v>
      </c>
      <c r="D167" t="s">
        <v>11</v>
      </c>
      <c r="E167" t="s">
        <v>17</v>
      </c>
      <c r="F167">
        <v>160</v>
      </c>
      <c r="G167">
        <v>125000</v>
      </c>
      <c r="H167">
        <v>0.28000000000000003</v>
      </c>
      <c r="I167">
        <v>160000</v>
      </c>
      <c r="J167">
        <v>50859</v>
      </c>
      <c r="K167">
        <v>8137440000</v>
      </c>
    </row>
    <row r="168" spans="1:11" x14ac:dyDescent="0.3">
      <c r="A168" s="8">
        <v>44958</v>
      </c>
      <c r="B168" s="4">
        <v>2023</v>
      </c>
      <c r="C168" s="4">
        <v>2</v>
      </c>
      <c r="D168" s="4" t="s">
        <v>11</v>
      </c>
      <c r="E168" s="4" t="s">
        <v>17</v>
      </c>
      <c r="F168" s="4">
        <v>160</v>
      </c>
      <c r="G168" s="4">
        <v>125000</v>
      </c>
      <c r="H168" s="4">
        <v>0.28000000000000003</v>
      </c>
      <c r="I168" s="4">
        <v>160000</v>
      </c>
      <c r="J168" s="4">
        <v>52567</v>
      </c>
      <c r="K168" s="4">
        <v>8410720000</v>
      </c>
    </row>
    <row r="169" spans="1:11" x14ac:dyDescent="0.3">
      <c r="A169" s="1">
        <v>44986</v>
      </c>
      <c r="B169">
        <v>2023</v>
      </c>
      <c r="C169">
        <v>3</v>
      </c>
      <c r="D169" t="s">
        <v>11</v>
      </c>
      <c r="E169" t="s">
        <v>17</v>
      </c>
      <c r="F169">
        <v>160</v>
      </c>
      <c r="G169">
        <v>125000</v>
      </c>
      <c r="H169">
        <v>0.28000000000000003</v>
      </c>
      <c r="I169">
        <v>160000</v>
      </c>
      <c r="J169">
        <v>54418</v>
      </c>
      <c r="K169">
        <v>8706880000</v>
      </c>
    </row>
    <row r="170" spans="1:11" x14ac:dyDescent="0.3">
      <c r="A170" s="8">
        <v>45017</v>
      </c>
      <c r="B170" s="4">
        <v>2023</v>
      </c>
      <c r="C170" s="4">
        <v>4</v>
      </c>
      <c r="D170" s="4" t="s">
        <v>11</v>
      </c>
      <c r="E170" s="4" t="s">
        <v>17</v>
      </c>
      <c r="F170" s="4">
        <v>160</v>
      </c>
      <c r="G170" s="4">
        <v>125000</v>
      </c>
      <c r="H170" s="4">
        <v>0.28000000000000003</v>
      </c>
      <c r="I170" s="4">
        <v>160000</v>
      </c>
      <c r="J170" s="4">
        <v>60500</v>
      </c>
      <c r="K170" s="4">
        <v>9680000000</v>
      </c>
    </row>
    <row r="171" spans="1:11" x14ac:dyDescent="0.3">
      <c r="A171" s="1">
        <v>45047</v>
      </c>
      <c r="B171">
        <v>2023</v>
      </c>
      <c r="C171">
        <v>5</v>
      </c>
      <c r="D171" t="s">
        <v>11</v>
      </c>
      <c r="E171" t="s">
        <v>17</v>
      </c>
      <c r="F171">
        <v>160</v>
      </c>
      <c r="G171">
        <v>125000</v>
      </c>
      <c r="H171">
        <v>0.28000000000000003</v>
      </c>
      <c r="I171">
        <v>160000</v>
      </c>
      <c r="J171">
        <v>55999</v>
      </c>
      <c r="K171">
        <v>8959840000</v>
      </c>
    </row>
    <row r="172" spans="1:11" x14ac:dyDescent="0.3">
      <c r="A172" s="8">
        <v>45078</v>
      </c>
      <c r="B172" s="4">
        <v>2023</v>
      </c>
      <c r="C172" s="4">
        <v>6</v>
      </c>
      <c r="D172" s="4" t="s">
        <v>11</v>
      </c>
      <c r="E172" s="4" t="s">
        <v>17</v>
      </c>
      <c r="F172" s="4">
        <v>160</v>
      </c>
      <c r="G172" s="4">
        <v>125000</v>
      </c>
      <c r="H172" s="4">
        <v>0.28000000000000003</v>
      </c>
      <c r="I172" s="4">
        <v>160000</v>
      </c>
      <c r="J172" s="4">
        <v>50534</v>
      </c>
      <c r="K172" s="4">
        <v>8085440000</v>
      </c>
    </row>
    <row r="173" spans="1:11" x14ac:dyDescent="0.3">
      <c r="A173" s="1">
        <v>45108</v>
      </c>
      <c r="B173">
        <v>2023</v>
      </c>
      <c r="C173">
        <v>7</v>
      </c>
      <c r="D173" t="s">
        <v>11</v>
      </c>
      <c r="E173" t="s">
        <v>17</v>
      </c>
      <c r="F173">
        <v>160</v>
      </c>
      <c r="G173">
        <v>125000</v>
      </c>
      <c r="H173">
        <v>0.28000000000000003</v>
      </c>
      <c r="I173">
        <v>160000</v>
      </c>
      <c r="J173">
        <v>44859</v>
      </c>
      <c r="K173">
        <v>7177440000</v>
      </c>
    </row>
    <row r="174" spans="1:11" x14ac:dyDescent="0.3">
      <c r="A174" s="8">
        <v>45139</v>
      </c>
      <c r="B174" s="4">
        <v>2023</v>
      </c>
      <c r="C174" s="4">
        <v>8</v>
      </c>
      <c r="D174" s="4" t="s">
        <v>11</v>
      </c>
      <c r="E174" s="4" t="s">
        <v>17</v>
      </c>
      <c r="F174" s="4">
        <v>160</v>
      </c>
      <c r="G174" s="4">
        <v>125000</v>
      </c>
      <c r="H174" s="4">
        <v>0.28000000000000003</v>
      </c>
      <c r="I174" s="4">
        <v>160000</v>
      </c>
      <c r="J174" s="4">
        <v>44048</v>
      </c>
      <c r="K174" s="4">
        <v>7047680000</v>
      </c>
    </row>
    <row r="175" spans="1:11" x14ac:dyDescent="0.3">
      <c r="A175" s="1">
        <v>45170</v>
      </c>
      <c r="B175">
        <v>2023</v>
      </c>
      <c r="C175">
        <v>9</v>
      </c>
      <c r="D175" t="s">
        <v>11</v>
      </c>
      <c r="E175" t="s">
        <v>17</v>
      </c>
      <c r="F175">
        <v>160</v>
      </c>
      <c r="G175">
        <v>125000</v>
      </c>
      <c r="H175">
        <v>0.28000000000000003</v>
      </c>
      <c r="I175">
        <v>160000</v>
      </c>
      <c r="J175">
        <v>43443</v>
      </c>
      <c r="K175">
        <v>6950880000</v>
      </c>
    </row>
    <row r="176" spans="1:11" x14ac:dyDescent="0.3">
      <c r="A176" s="8">
        <v>45200</v>
      </c>
      <c r="B176" s="4">
        <v>2023</v>
      </c>
      <c r="C176" s="4">
        <v>10</v>
      </c>
      <c r="D176" s="4" t="s">
        <v>11</v>
      </c>
      <c r="E176" s="4" t="s">
        <v>17</v>
      </c>
      <c r="F176" s="4">
        <v>160</v>
      </c>
      <c r="G176" s="4">
        <v>125000</v>
      </c>
      <c r="H176" s="4">
        <v>0.28000000000000003</v>
      </c>
      <c r="I176" s="4">
        <v>160000</v>
      </c>
      <c r="J176" s="4">
        <v>41204</v>
      </c>
      <c r="K176" s="4">
        <v>6592640000</v>
      </c>
    </row>
    <row r="177" spans="1:11" x14ac:dyDescent="0.3">
      <c r="A177" s="1">
        <v>45231</v>
      </c>
      <c r="B177">
        <v>2023</v>
      </c>
      <c r="C177">
        <v>11</v>
      </c>
      <c r="D177" t="s">
        <v>11</v>
      </c>
      <c r="E177" t="s">
        <v>17</v>
      </c>
      <c r="F177">
        <v>160</v>
      </c>
      <c r="G177">
        <v>125000</v>
      </c>
      <c r="H177">
        <v>0.28000000000000003</v>
      </c>
      <c r="I177">
        <v>160000</v>
      </c>
      <c r="J177">
        <v>44039</v>
      </c>
      <c r="K177">
        <v>7046240000</v>
      </c>
    </row>
    <row r="178" spans="1:11" x14ac:dyDescent="0.3">
      <c r="A178" s="8">
        <v>45261</v>
      </c>
      <c r="B178" s="4">
        <v>2023</v>
      </c>
      <c r="C178" s="4">
        <v>12</v>
      </c>
      <c r="D178" s="4" t="s">
        <v>11</v>
      </c>
      <c r="E178" s="4" t="s">
        <v>17</v>
      </c>
      <c r="F178" s="4">
        <v>160</v>
      </c>
      <c r="G178" s="4">
        <v>125000</v>
      </c>
      <c r="H178" s="4">
        <v>0.28000000000000003</v>
      </c>
      <c r="I178" s="4">
        <v>160000</v>
      </c>
      <c r="J178" s="4">
        <v>59341</v>
      </c>
      <c r="K178" s="4">
        <v>9494560000</v>
      </c>
    </row>
    <row r="179" spans="1:11" x14ac:dyDescent="0.3">
      <c r="A179" s="1">
        <v>45292</v>
      </c>
      <c r="B179">
        <v>2024</v>
      </c>
      <c r="C179">
        <v>1</v>
      </c>
      <c r="D179" t="s">
        <v>11</v>
      </c>
      <c r="E179" t="s">
        <v>17</v>
      </c>
      <c r="F179">
        <v>160</v>
      </c>
      <c r="G179">
        <v>125000</v>
      </c>
      <c r="H179">
        <v>0.28000000000000003</v>
      </c>
      <c r="I179">
        <v>160000</v>
      </c>
      <c r="J179">
        <v>54760</v>
      </c>
      <c r="K179">
        <v>8761600000</v>
      </c>
    </row>
    <row r="180" spans="1:11" x14ac:dyDescent="0.3">
      <c r="A180" s="8">
        <v>45323</v>
      </c>
      <c r="B180" s="4">
        <v>2024</v>
      </c>
      <c r="C180" s="4">
        <v>2</v>
      </c>
      <c r="D180" s="4" t="s">
        <v>11</v>
      </c>
      <c r="E180" s="4" t="s">
        <v>17</v>
      </c>
      <c r="F180" s="4">
        <v>160</v>
      </c>
      <c r="G180" s="4">
        <v>125000</v>
      </c>
      <c r="H180" s="4">
        <v>0.28000000000000003</v>
      </c>
      <c r="I180" s="4">
        <v>160000</v>
      </c>
      <c r="J180" s="4">
        <v>49070</v>
      </c>
      <c r="K180" s="4">
        <v>7851200000</v>
      </c>
    </row>
    <row r="181" spans="1:11" x14ac:dyDescent="0.3">
      <c r="A181" s="1">
        <v>45352</v>
      </c>
      <c r="B181">
        <v>2024</v>
      </c>
      <c r="C181">
        <v>3</v>
      </c>
      <c r="D181" t="s">
        <v>11</v>
      </c>
      <c r="E181" t="s">
        <v>17</v>
      </c>
      <c r="F181">
        <v>160</v>
      </c>
      <c r="G181">
        <v>125000</v>
      </c>
      <c r="H181">
        <v>0.28000000000000003</v>
      </c>
      <c r="I181">
        <v>160000</v>
      </c>
      <c r="J181">
        <v>56607</v>
      </c>
      <c r="K181">
        <v>9057120000</v>
      </c>
    </row>
    <row r="182" spans="1:11" x14ac:dyDescent="0.3">
      <c r="A182" s="8">
        <v>45383</v>
      </c>
      <c r="B182" s="4">
        <v>2024</v>
      </c>
      <c r="C182" s="4">
        <v>4</v>
      </c>
      <c r="D182" s="4" t="s">
        <v>11</v>
      </c>
      <c r="E182" s="4" t="s">
        <v>17</v>
      </c>
      <c r="F182" s="4">
        <v>160</v>
      </c>
      <c r="G182" s="4">
        <v>125000</v>
      </c>
      <c r="H182" s="4">
        <v>0.28000000000000003</v>
      </c>
      <c r="I182" s="4">
        <v>160000</v>
      </c>
      <c r="J182" s="4">
        <v>58207</v>
      </c>
      <c r="K182" s="4">
        <v>9313120000</v>
      </c>
    </row>
    <row r="183" spans="1:11" x14ac:dyDescent="0.3">
      <c r="A183" s="1">
        <v>45413</v>
      </c>
      <c r="B183">
        <v>2024</v>
      </c>
      <c r="C183">
        <v>5</v>
      </c>
      <c r="D183" t="s">
        <v>11</v>
      </c>
      <c r="E183" t="s">
        <v>17</v>
      </c>
      <c r="F183">
        <v>160</v>
      </c>
      <c r="G183">
        <v>125000</v>
      </c>
      <c r="H183">
        <v>0.28000000000000003</v>
      </c>
      <c r="I183">
        <v>160000</v>
      </c>
      <c r="J183">
        <v>62660</v>
      </c>
      <c r="K183">
        <v>10025600000</v>
      </c>
    </row>
    <row r="184" spans="1:11" x14ac:dyDescent="0.3">
      <c r="A184" s="8">
        <v>45444</v>
      </c>
      <c r="B184" s="4">
        <v>2024</v>
      </c>
      <c r="C184" s="4">
        <v>6</v>
      </c>
      <c r="D184" s="4" t="s">
        <v>11</v>
      </c>
      <c r="E184" s="4" t="s">
        <v>17</v>
      </c>
      <c r="F184" s="4">
        <v>160</v>
      </c>
      <c r="G184" s="4">
        <v>125000</v>
      </c>
      <c r="H184" s="4">
        <v>0.28000000000000003</v>
      </c>
      <c r="I184" s="4">
        <v>160000</v>
      </c>
      <c r="J184" s="4">
        <v>47324</v>
      </c>
      <c r="K184" s="4">
        <v>7571840000</v>
      </c>
    </row>
    <row r="185" spans="1:11" x14ac:dyDescent="0.3">
      <c r="A185" s="1">
        <v>45474</v>
      </c>
      <c r="B185">
        <v>2024</v>
      </c>
      <c r="C185">
        <v>7</v>
      </c>
      <c r="D185" t="s">
        <v>11</v>
      </c>
      <c r="E185" t="s">
        <v>17</v>
      </c>
      <c r="F185">
        <v>160</v>
      </c>
      <c r="G185">
        <v>125000</v>
      </c>
      <c r="H185">
        <v>0.28000000000000003</v>
      </c>
      <c r="I185">
        <v>160000</v>
      </c>
      <c r="J185">
        <v>49838</v>
      </c>
      <c r="K185">
        <v>7974080000</v>
      </c>
    </row>
    <row r="186" spans="1:11" x14ac:dyDescent="0.3">
      <c r="A186" s="8">
        <v>45505</v>
      </c>
      <c r="B186" s="4">
        <v>2024</v>
      </c>
      <c r="C186" s="4">
        <v>8</v>
      </c>
      <c r="D186" s="4" t="s">
        <v>11</v>
      </c>
      <c r="E186" s="4" t="s">
        <v>17</v>
      </c>
      <c r="F186" s="4">
        <v>160</v>
      </c>
      <c r="G186" s="4">
        <v>125000</v>
      </c>
      <c r="H186" s="4">
        <v>0.28000000000000003</v>
      </c>
      <c r="I186" s="4">
        <v>160000</v>
      </c>
      <c r="J186" s="4">
        <v>39786</v>
      </c>
      <c r="K186" s="4">
        <v>6365760000</v>
      </c>
    </row>
    <row r="187" spans="1:11" x14ac:dyDescent="0.3">
      <c r="A187" s="1">
        <v>45536</v>
      </c>
      <c r="B187">
        <v>2024</v>
      </c>
      <c r="C187">
        <v>9</v>
      </c>
      <c r="D187" t="s">
        <v>11</v>
      </c>
      <c r="E187" t="s">
        <v>17</v>
      </c>
      <c r="F187">
        <v>160</v>
      </c>
      <c r="G187">
        <v>125000</v>
      </c>
      <c r="H187">
        <v>0.28000000000000003</v>
      </c>
      <c r="I187">
        <v>160000</v>
      </c>
      <c r="J187">
        <v>35336</v>
      </c>
      <c r="K187">
        <v>5653760000</v>
      </c>
    </row>
    <row r="188" spans="1:11" x14ac:dyDescent="0.3">
      <c r="A188" s="8">
        <v>45566</v>
      </c>
      <c r="B188" s="4">
        <v>2024</v>
      </c>
      <c r="C188" s="4">
        <v>10</v>
      </c>
      <c r="D188" s="4" t="s">
        <v>11</v>
      </c>
      <c r="E188" s="4" t="s">
        <v>17</v>
      </c>
      <c r="F188" s="4">
        <v>160</v>
      </c>
      <c r="G188" s="4">
        <v>125000</v>
      </c>
      <c r="H188" s="4">
        <v>0.28000000000000003</v>
      </c>
      <c r="I188" s="4">
        <v>160000</v>
      </c>
      <c r="J188" s="4">
        <v>48055</v>
      </c>
      <c r="K188" s="4">
        <v>7688800000</v>
      </c>
    </row>
    <row r="189" spans="1:11" x14ac:dyDescent="0.3">
      <c r="A189" s="1">
        <v>45597</v>
      </c>
      <c r="B189">
        <v>2024</v>
      </c>
      <c r="C189">
        <v>11</v>
      </c>
      <c r="D189" t="s">
        <v>11</v>
      </c>
      <c r="E189" t="s">
        <v>17</v>
      </c>
      <c r="F189">
        <v>160</v>
      </c>
      <c r="G189">
        <v>125000</v>
      </c>
      <c r="H189">
        <v>0.28000000000000003</v>
      </c>
      <c r="I189">
        <v>160000</v>
      </c>
      <c r="J189">
        <v>55060</v>
      </c>
      <c r="K189">
        <v>8809600000</v>
      </c>
    </row>
    <row r="190" spans="1:11" x14ac:dyDescent="0.3">
      <c r="A190" s="8">
        <v>45627</v>
      </c>
      <c r="B190" s="4">
        <v>2024</v>
      </c>
      <c r="C190" s="4">
        <v>12</v>
      </c>
      <c r="D190" s="4" t="s">
        <v>11</v>
      </c>
      <c r="E190" s="4" t="s">
        <v>17</v>
      </c>
      <c r="F190" s="4">
        <v>160</v>
      </c>
      <c r="G190" s="4">
        <v>125000</v>
      </c>
      <c r="H190" s="4">
        <v>0.28000000000000003</v>
      </c>
      <c r="I190" s="4">
        <v>160000</v>
      </c>
      <c r="J190" s="4">
        <v>43901</v>
      </c>
      <c r="K190" s="4">
        <v>7024160000</v>
      </c>
    </row>
    <row r="191" spans="1:11" x14ac:dyDescent="0.3">
      <c r="A191" s="1">
        <v>45658</v>
      </c>
      <c r="B191">
        <v>2025</v>
      </c>
      <c r="C191">
        <v>1</v>
      </c>
      <c r="D191" t="s">
        <v>11</v>
      </c>
      <c r="E191" t="s">
        <v>17</v>
      </c>
      <c r="F191">
        <v>160</v>
      </c>
      <c r="G191">
        <v>125000</v>
      </c>
      <c r="H191">
        <v>0.28000000000000003</v>
      </c>
      <c r="I191">
        <v>160000</v>
      </c>
      <c r="J191">
        <v>49270</v>
      </c>
      <c r="K191">
        <v>7883200000</v>
      </c>
    </row>
    <row r="192" spans="1:11" x14ac:dyDescent="0.3">
      <c r="A192" s="8">
        <v>45689</v>
      </c>
      <c r="B192" s="4">
        <v>2025</v>
      </c>
      <c r="C192" s="4">
        <v>2</v>
      </c>
      <c r="D192" s="4" t="s">
        <v>11</v>
      </c>
      <c r="E192" s="4" t="s">
        <v>17</v>
      </c>
      <c r="F192" s="4">
        <v>160</v>
      </c>
      <c r="G192" s="4">
        <v>125000</v>
      </c>
      <c r="H192" s="4">
        <v>0.28000000000000003</v>
      </c>
      <c r="I192" s="4">
        <v>160000</v>
      </c>
      <c r="J192" s="4">
        <v>62333</v>
      </c>
      <c r="K192" s="4">
        <v>9973280000</v>
      </c>
    </row>
    <row r="193" spans="1:11" x14ac:dyDescent="0.3">
      <c r="A193" s="1">
        <v>45717</v>
      </c>
      <c r="B193">
        <v>2025</v>
      </c>
      <c r="C193">
        <v>3</v>
      </c>
      <c r="D193" t="s">
        <v>11</v>
      </c>
      <c r="E193" t="s">
        <v>17</v>
      </c>
      <c r="F193">
        <v>160</v>
      </c>
      <c r="G193">
        <v>125000</v>
      </c>
      <c r="H193">
        <v>0.28000000000000003</v>
      </c>
      <c r="I193">
        <v>160000</v>
      </c>
      <c r="J193">
        <v>61667</v>
      </c>
      <c r="K193">
        <v>9866720000</v>
      </c>
    </row>
    <row r="194" spans="1:11" x14ac:dyDescent="0.3">
      <c r="A194" s="8">
        <v>45748</v>
      </c>
      <c r="B194" s="4">
        <v>2025</v>
      </c>
      <c r="C194" s="4">
        <v>4</v>
      </c>
      <c r="D194" s="4" t="s">
        <v>11</v>
      </c>
      <c r="E194" s="4" t="s">
        <v>17</v>
      </c>
      <c r="F194" s="4">
        <v>160</v>
      </c>
      <c r="G194" s="4">
        <v>125000</v>
      </c>
      <c r="H194" s="4">
        <v>0.28000000000000003</v>
      </c>
      <c r="I194" s="4">
        <v>160000</v>
      </c>
      <c r="J194" s="4">
        <v>55053</v>
      </c>
      <c r="K194" s="4">
        <v>8808480000</v>
      </c>
    </row>
    <row r="195" spans="1:11" x14ac:dyDescent="0.3">
      <c r="A195" s="1">
        <v>45778</v>
      </c>
      <c r="B195">
        <v>2025</v>
      </c>
      <c r="C195">
        <v>5</v>
      </c>
      <c r="D195" t="s">
        <v>11</v>
      </c>
      <c r="E195" t="s">
        <v>17</v>
      </c>
      <c r="F195">
        <v>160</v>
      </c>
      <c r="G195">
        <v>125000</v>
      </c>
      <c r="H195">
        <v>0.28000000000000003</v>
      </c>
      <c r="I195">
        <v>160000</v>
      </c>
      <c r="J195">
        <v>52911</v>
      </c>
      <c r="K195">
        <v>8465760000</v>
      </c>
    </row>
    <row r="196" spans="1:11" x14ac:dyDescent="0.3">
      <c r="A196" s="8">
        <v>45809</v>
      </c>
      <c r="B196" s="4">
        <v>2025</v>
      </c>
      <c r="C196" s="4">
        <v>6</v>
      </c>
      <c r="D196" s="4" t="s">
        <v>11</v>
      </c>
      <c r="E196" s="4" t="s">
        <v>17</v>
      </c>
      <c r="F196" s="4">
        <v>160</v>
      </c>
      <c r="G196" s="4">
        <v>125000</v>
      </c>
      <c r="H196" s="4">
        <v>0.28000000000000003</v>
      </c>
      <c r="I196" s="4">
        <v>160000</v>
      </c>
      <c r="J196" s="4">
        <v>49625</v>
      </c>
      <c r="K196" s="4">
        <v>7940000000</v>
      </c>
    </row>
    <row r="197" spans="1:11" x14ac:dyDescent="0.3">
      <c r="A197" s="1">
        <v>45839</v>
      </c>
      <c r="B197">
        <v>2025</v>
      </c>
      <c r="C197">
        <v>7</v>
      </c>
      <c r="D197" t="s">
        <v>11</v>
      </c>
      <c r="E197" t="s">
        <v>17</v>
      </c>
      <c r="F197">
        <v>160</v>
      </c>
      <c r="G197">
        <v>125000</v>
      </c>
      <c r="H197">
        <v>0.28000000000000003</v>
      </c>
      <c r="I197">
        <v>160000</v>
      </c>
      <c r="J197">
        <v>50732</v>
      </c>
      <c r="K197">
        <v>8117120000</v>
      </c>
    </row>
    <row r="198" spans="1:11" x14ac:dyDescent="0.3">
      <c r="A198" s="8">
        <v>45870</v>
      </c>
      <c r="B198" s="4">
        <v>2025</v>
      </c>
      <c r="C198" s="4">
        <v>8</v>
      </c>
      <c r="D198" s="4" t="s">
        <v>11</v>
      </c>
      <c r="E198" s="4" t="s">
        <v>17</v>
      </c>
      <c r="F198" s="4">
        <v>160</v>
      </c>
      <c r="G198" s="4">
        <v>125000</v>
      </c>
      <c r="H198" s="4">
        <v>0.28000000000000003</v>
      </c>
      <c r="I198" s="4">
        <v>160000</v>
      </c>
      <c r="J198" s="4">
        <v>44569</v>
      </c>
      <c r="K198" s="4">
        <v>7131040000</v>
      </c>
    </row>
    <row r="199" spans="1:11" x14ac:dyDescent="0.3">
      <c r="A199" s="1">
        <v>45901</v>
      </c>
      <c r="B199">
        <v>2025</v>
      </c>
      <c r="C199">
        <v>9</v>
      </c>
      <c r="D199" t="s">
        <v>11</v>
      </c>
      <c r="E199" t="s">
        <v>17</v>
      </c>
      <c r="F199">
        <v>160</v>
      </c>
      <c r="G199">
        <v>125000</v>
      </c>
      <c r="H199">
        <v>0.28000000000000003</v>
      </c>
      <c r="I199">
        <v>160000</v>
      </c>
      <c r="J199">
        <v>44789</v>
      </c>
      <c r="K199">
        <v>7166240000</v>
      </c>
    </row>
    <row r="200" spans="1:11" x14ac:dyDescent="0.3">
      <c r="A200" s="8">
        <v>44927</v>
      </c>
      <c r="B200" s="4">
        <v>2023</v>
      </c>
      <c r="C200" s="4">
        <v>1</v>
      </c>
      <c r="D200" s="4" t="s">
        <v>11</v>
      </c>
      <c r="E200" s="4" t="s">
        <v>18</v>
      </c>
      <c r="F200" s="4">
        <v>199</v>
      </c>
      <c r="G200" s="4">
        <v>140000</v>
      </c>
      <c r="H200" s="4">
        <v>0.28000000000000003</v>
      </c>
      <c r="I200" s="4">
        <v>179200</v>
      </c>
      <c r="J200" s="4">
        <v>38165</v>
      </c>
      <c r="K200" s="4">
        <v>6839168000</v>
      </c>
    </row>
    <row r="201" spans="1:11" x14ac:dyDescent="0.3">
      <c r="A201" s="1">
        <v>44958</v>
      </c>
      <c r="B201">
        <v>2023</v>
      </c>
      <c r="C201">
        <v>2</v>
      </c>
      <c r="D201" t="s">
        <v>11</v>
      </c>
      <c r="E201" t="s">
        <v>18</v>
      </c>
      <c r="F201">
        <v>199</v>
      </c>
      <c r="G201">
        <v>140000</v>
      </c>
      <c r="H201">
        <v>0.28000000000000003</v>
      </c>
      <c r="I201">
        <v>179200</v>
      </c>
      <c r="J201">
        <v>29374</v>
      </c>
      <c r="K201">
        <v>5263820800</v>
      </c>
    </row>
    <row r="202" spans="1:11" x14ac:dyDescent="0.3">
      <c r="A202" s="8">
        <v>44986</v>
      </c>
      <c r="B202" s="4">
        <v>2023</v>
      </c>
      <c r="C202" s="4">
        <v>3</v>
      </c>
      <c r="D202" s="4" t="s">
        <v>11</v>
      </c>
      <c r="E202" s="4" t="s">
        <v>18</v>
      </c>
      <c r="F202" s="4">
        <v>199</v>
      </c>
      <c r="G202" s="4">
        <v>140000</v>
      </c>
      <c r="H202" s="4">
        <v>0.28000000000000003</v>
      </c>
      <c r="I202" s="4">
        <v>179200</v>
      </c>
      <c r="J202" s="4">
        <v>40384</v>
      </c>
      <c r="K202" s="4">
        <v>7236812800</v>
      </c>
    </row>
    <row r="203" spans="1:11" x14ac:dyDescent="0.3">
      <c r="A203" s="1">
        <v>45017</v>
      </c>
      <c r="B203">
        <v>2023</v>
      </c>
      <c r="C203">
        <v>4</v>
      </c>
      <c r="D203" t="s">
        <v>11</v>
      </c>
      <c r="E203" t="s">
        <v>18</v>
      </c>
      <c r="F203">
        <v>199</v>
      </c>
      <c r="G203">
        <v>140000</v>
      </c>
      <c r="H203">
        <v>0.28000000000000003</v>
      </c>
      <c r="I203">
        <v>179200</v>
      </c>
      <c r="J203">
        <v>42591</v>
      </c>
      <c r="K203">
        <v>7632307200</v>
      </c>
    </row>
    <row r="204" spans="1:11" x14ac:dyDescent="0.3">
      <c r="A204" s="8">
        <v>45047</v>
      </c>
      <c r="B204" s="4">
        <v>2023</v>
      </c>
      <c r="C204" s="4">
        <v>5</v>
      </c>
      <c r="D204" s="4" t="s">
        <v>11</v>
      </c>
      <c r="E204" s="4" t="s">
        <v>18</v>
      </c>
      <c r="F204" s="4">
        <v>199</v>
      </c>
      <c r="G204" s="4">
        <v>140000</v>
      </c>
      <c r="H204" s="4">
        <v>0.28000000000000003</v>
      </c>
      <c r="I204" s="4">
        <v>179200</v>
      </c>
      <c r="J204" s="4">
        <v>38815</v>
      </c>
      <c r="K204" s="4">
        <v>6955648000</v>
      </c>
    </row>
    <row r="205" spans="1:11" x14ac:dyDescent="0.3">
      <c r="A205" s="1">
        <v>45078</v>
      </c>
      <c r="B205">
        <v>2023</v>
      </c>
      <c r="C205">
        <v>6</v>
      </c>
      <c r="D205" t="s">
        <v>11</v>
      </c>
      <c r="E205" t="s">
        <v>18</v>
      </c>
      <c r="F205">
        <v>199</v>
      </c>
      <c r="G205">
        <v>140000</v>
      </c>
      <c r="H205">
        <v>0.28000000000000003</v>
      </c>
      <c r="I205">
        <v>179200</v>
      </c>
      <c r="J205">
        <v>40172</v>
      </c>
      <c r="K205">
        <v>7198822400</v>
      </c>
    </row>
    <row r="206" spans="1:11" x14ac:dyDescent="0.3">
      <c r="A206" s="8">
        <v>45108</v>
      </c>
      <c r="B206" s="4">
        <v>2023</v>
      </c>
      <c r="C206" s="4">
        <v>7</v>
      </c>
      <c r="D206" s="4" t="s">
        <v>11</v>
      </c>
      <c r="E206" s="4" t="s">
        <v>18</v>
      </c>
      <c r="F206" s="4">
        <v>199</v>
      </c>
      <c r="G206" s="4">
        <v>140000</v>
      </c>
      <c r="H206" s="4">
        <v>0.28000000000000003</v>
      </c>
      <c r="I206" s="4">
        <v>179200</v>
      </c>
      <c r="J206" s="4">
        <v>35779</v>
      </c>
      <c r="K206" s="4">
        <v>6411596800</v>
      </c>
    </row>
    <row r="207" spans="1:11" x14ac:dyDescent="0.3">
      <c r="A207" s="1">
        <v>45139</v>
      </c>
      <c r="B207">
        <v>2023</v>
      </c>
      <c r="C207">
        <v>8</v>
      </c>
      <c r="D207" t="s">
        <v>11</v>
      </c>
      <c r="E207" t="s">
        <v>18</v>
      </c>
      <c r="F207">
        <v>199</v>
      </c>
      <c r="G207">
        <v>140000</v>
      </c>
      <c r="H207">
        <v>0.28000000000000003</v>
      </c>
      <c r="I207">
        <v>179200</v>
      </c>
      <c r="J207">
        <v>28092</v>
      </c>
      <c r="K207">
        <v>5034086400</v>
      </c>
    </row>
    <row r="208" spans="1:11" x14ac:dyDescent="0.3">
      <c r="A208" s="8">
        <v>45170</v>
      </c>
      <c r="B208" s="4">
        <v>2023</v>
      </c>
      <c r="C208" s="4">
        <v>9</v>
      </c>
      <c r="D208" s="4" t="s">
        <v>11</v>
      </c>
      <c r="E208" s="4" t="s">
        <v>18</v>
      </c>
      <c r="F208" s="4">
        <v>199</v>
      </c>
      <c r="G208" s="4">
        <v>140000</v>
      </c>
      <c r="H208" s="4">
        <v>0.28000000000000003</v>
      </c>
      <c r="I208" s="4">
        <v>179200</v>
      </c>
      <c r="J208" s="4">
        <v>29505</v>
      </c>
      <c r="K208" s="4">
        <v>5287296000</v>
      </c>
    </row>
    <row r="209" spans="1:11" x14ac:dyDescent="0.3">
      <c r="A209" s="1">
        <v>45200</v>
      </c>
      <c r="B209">
        <v>2023</v>
      </c>
      <c r="C209">
        <v>10</v>
      </c>
      <c r="D209" t="s">
        <v>11</v>
      </c>
      <c r="E209" t="s">
        <v>18</v>
      </c>
      <c r="F209">
        <v>199</v>
      </c>
      <c r="G209">
        <v>140000</v>
      </c>
      <c r="H209">
        <v>0.28000000000000003</v>
      </c>
      <c r="I209">
        <v>179200</v>
      </c>
      <c r="J209">
        <v>33393</v>
      </c>
      <c r="K209">
        <v>5984025600</v>
      </c>
    </row>
    <row r="210" spans="1:11" x14ac:dyDescent="0.3">
      <c r="A210" s="8">
        <v>45231</v>
      </c>
      <c r="B210" s="4">
        <v>2023</v>
      </c>
      <c r="C210" s="4">
        <v>11</v>
      </c>
      <c r="D210" s="4" t="s">
        <v>11</v>
      </c>
      <c r="E210" s="4" t="s">
        <v>18</v>
      </c>
      <c r="F210" s="4">
        <v>199</v>
      </c>
      <c r="G210" s="4">
        <v>140000</v>
      </c>
      <c r="H210" s="4">
        <v>0.28000000000000003</v>
      </c>
      <c r="I210" s="4">
        <v>179200</v>
      </c>
      <c r="J210" s="4">
        <v>33899</v>
      </c>
      <c r="K210" s="4">
        <v>6074700800</v>
      </c>
    </row>
    <row r="211" spans="1:11" x14ac:dyDescent="0.3">
      <c r="A211" s="1">
        <v>45261</v>
      </c>
      <c r="B211">
        <v>2023</v>
      </c>
      <c r="C211">
        <v>12</v>
      </c>
      <c r="D211" t="s">
        <v>11</v>
      </c>
      <c r="E211" t="s">
        <v>18</v>
      </c>
      <c r="F211">
        <v>199</v>
      </c>
      <c r="G211">
        <v>140000</v>
      </c>
      <c r="H211">
        <v>0.28000000000000003</v>
      </c>
      <c r="I211">
        <v>179200</v>
      </c>
      <c r="J211">
        <v>31748</v>
      </c>
      <c r="K211">
        <v>5689241600</v>
      </c>
    </row>
    <row r="212" spans="1:11" x14ac:dyDescent="0.3">
      <c r="A212" s="8">
        <v>45292</v>
      </c>
      <c r="B212" s="4">
        <v>2024</v>
      </c>
      <c r="C212" s="4">
        <v>1</v>
      </c>
      <c r="D212" s="4" t="s">
        <v>11</v>
      </c>
      <c r="E212" s="4" t="s">
        <v>18</v>
      </c>
      <c r="F212" s="4">
        <v>199</v>
      </c>
      <c r="G212" s="4">
        <v>140000</v>
      </c>
      <c r="H212" s="4">
        <v>0.28000000000000003</v>
      </c>
      <c r="I212" s="4">
        <v>179200</v>
      </c>
      <c r="J212" s="4">
        <v>37091</v>
      </c>
      <c r="K212" s="4">
        <v>6646707200</v>
      </c>
    </row>
    <row r="213" spans="1:11" x14ac:dyDescent="0.3">
      <c r="A213" s="1">
        <v>45323</v>
      </c>
      <c r="B213">
        <v>2024</v>
      </c>
      <c r="C213">
        <v>2</v>
      </c>
      <c r="D213" t="s">
        <v>11</v>
      </c>
      <c r="E213" t="s">
        <v>18</v>
      </c>
      <c r="F213">
        <v>199</v>
      </c>
      <c r="G213">
        <v>140000</v>
      </c>
      <c r="H213">
        <v>0.28000000000000003</v>
      </c>
      <c r="I213">
        <v>179200</v>
      </c>
      <c r="J213">
        <v>33761</v>
      </c>
      <c r="K213">
        <v>6049971200</v>
      </c>
    </row>
    <row r="214" spans="1:11" x14ac:dyDescent="0.3">
      <c r="A214" s="8">
        <v>45352</v>
      </c>
      <c r="B214" s="4">
        <v>2024</v>
      </c>
      <c r="C214" s="4">
        <v>3</v>
      </c>
      <c r="D214" s="4" t="s">
        <v>11</v>
      </c>
      <c r="E214" s="4" t="s">
        <v>18</v>
      </c>
      <c r="F214" s="4">
        <v>199</v>
      </c>
      <c r="G214" s="4">
        <v>140000</v>
      </c>
      <c r="H214" s="4">
        <v>0.28000000000000003</v>
      </c>
      <c r="I214" s="4">
        <v>179200</v>
      </c>
      <c r="J214" s="4">
        <v>38264</v>
      </c>
      <c r="K214" s="4">
        <v>6856908800</v>
      </c>
    </row>
    <row r="215" spans="1:11" x14ac:dyDescent="0.3">
      <c r="A215" s="1">
        <v>45383</v>
      </c>
      <c r="B215">
        <v>2024</v>
      </c>
      <c r="C215">
        <v>4</v>
      </c>
      <c r="D215" t="s">
        <v>11</v>
      </c>
      <c r="E215" t="s">
        <v>18</v>
      </c>
      <c r="F215">
        <v>199</v>
      </c>
      <c r="G215">
        <v>140000</v>
      </c>
      <c r="H215">
        <v>0.28000000000000003</v>
      </c>
      <c r="I215">
        <v>179200</v>
      </c>
      <c r="J215">
        <v>35582</v>
      </c>
      <c r="K215">
        <v>6376294400</v>
      </c>
    </row>
    <row r="216" spans="1:11" x14ac:dyDescent="0.3">
      <c r="A216" s="8">
        <v>45413</v>
      </c>
      <c r="B216" s="4">
        <v>2024</v>
      </c>
      <c r="C216" s="4">
        <v>5</v>
      </c>
      <c r="D216" s="4" t="s">
        <v>11</v>
      </c>
      <c r="E216" s="4" t="s">
        <v>18</v>
      </c>
      <c r="F216" s="4">
        <v>199</v>
      </c>
      <c r="G216" s="4">
        <v>140000</v>
      </c>
      <c r="H216" s="4">
        <v>0.28000000000000003</v>
      </c>
      <c r="I216" s="4">
        <v>179200</v>
      </c>
      <c r="J216" s="4">
        <v>35817</v>
      </c>
      <c r="K216" s="4">
        <v>6418406400</v>
      </c>
    </row>
    <row r="217" spans="1:11" x14ac:dyDescent="0.3">
      <c r="A217" s="1">
        <v>45444</v>
      </c>
      <c r="B217">
        <v>2024</v>
      </c>
      <c r="C217">
        <v>6</v>
      </c>
      <c r="D217" t="s">
        <v>11</v>
      </c>
      <c r="E217" t="s">
        <v>18</v>
      </c>
      <c r="F217">
        <v>199</v>
      </c>
      <c r="G217">
        <v>140000</v>
      </c>
      <c r="H217">
        <v>0.28000000000000003</v>
      </c>
      <c r="I217">
        <v>179200</v>
      </c>
      <c r="J217">
        <v>36765</v>
      </c>
      <c r="K217">
        <v>6588288000</v>
      </c>
    </row>
    <row r="218" spans="1:11" x14ac:dyDescent="0.3">
      <c r="A218" s="8">
        <v>45474</v>
      </c>
      <c r="B218" s="4">
        <v>2024</v>
      </c>
      <c r="C218" s="4">
        <v>7</v>
      </c>
      <c r="D218" s="4" t="s">
        <v>11</v>
      </c>
      <c r="E218" s="4" t="s">
        <v>18</v>
      </c>
      <c r="F218" s="4">
        <v>199</v>
      </c>
      <c r="G218" s="4">
        <v>140000</v>
      </c>
      <c r="H218" s="4">
        <v>0.28000000000000003</v>
      </c>
      <c r="I218" s="4">
        <v>179200</v>
      </c>
      <c r="J218" s="4">
        <v>30983</v>
      </c>
      <c r="K218" s="4">
        <v>5552153600</v>
      </c>
    </row>
    <row r="219" spans="1:11" x14ac:dyDescent="0.3">
      <c r="A219" s="1">
        <v>45505</v>
      </c>
      <c r="B219">
        <v>2024</v>
      </c>
      <c r="C219">
        <v>8</v>
      </c>
      <c r="D219" t="s">
        <v>11</v>
      </c>
      <c r="E219" t="s">
        <v>18</v>
      </c>
      <c r="F219">
        <v>199</v>
      </c>
      <c r="G219">
        <v>140000</v>
      </c>
      <c r="H219">
        <v>0.28000000000000003</v>
      </c>
      <c r="I219">
        <v>179200</v>
      </c>
      <c r="J219">
        <v>33614</v>
      </c>
      <c r="K219">
        <v>6023628800</v>
      </c>
    </row>
    <row r="220" spans="1:11" x14ac:dyDescent="0.3">
      <c r="A220" s="8">
        <v>45536</v>
      </c>
      <c r="B220" s="4">
        <v>2024</v>
      </c>
      <c r="C220" s="4">
        <v>9</v>
      </c>
      <c r="D220" s="4" t="s">
        <v>11</v>
      </c>
      <c r="E220" s="4" t="s">
        <v>18</v>
      </c>
      <c r="F220" s="4">
        <v>199</v>
      </c>
      <c r="G220" s="4">
        <v>140000</v>
      </c>
      <c r="H220" s="4">
        <v>0.28000000000000003</v>
      </c>
      <c r="I220" s="4">
        <v>179200</v>
      </c>
      <c r="J220" s="4">
        <v>30408</v>
      </c>
      <c r="K220" s="4">
        <v>5449113600</v>
      </c>
    </row>
    <row r="221" spans="1:11" x14ac:dyDescent="0.3">
      <c r="A221" s="1">
        <v>45566</v>
      </c>
      <c r="B221">
        <v>2024</v>
      </c>
      <c r="C221">
        <v>10</v>
      </c>
      <c r="D221" t="s">
        <v>11</v>
      </c>
      <c r="E221" t="s">
        <v>18</v>
      </c>
      <c r="F221">
        <v>199</v>
      </c>
      <c r="G221">
        <v>140000</v>
      </c>
      <c r="H221">
        <v>0.28000000000000003</v>
      </c>
      <c r="I221">
        <v>179200</v>
      </c>
      <c r="J221">
        <v>27135</v>
      </c>
      <c r="K221">
        <v>4862592000</v>
      </c>
    </row>
    <row r="222" spans="1:11" x14ac:dyDescent="0.3">
      <c r="A222" s="8">
        <v>45597</v>
      </c>
      <c r="B222" s="4">
        <v>2024</v>
      </c>
      <c r="C222" s="4">
        <v>11</v>
      </c>
      <c r="D222" s="4" t="s">
        <v>11</v>
      </c>
      <c r="E222" s="4" t="s">
        <v>18</v>
      </c>
      <c r="F222" s="4">
        <v>199</v>
      </c>
      <c r="G222" s="4">
        <v>140000</v>
      </c>
      <c r="H222" s="4">
        <v>0.28000000000000003</v>
      </c>
      <c r="I222" s="4">
        <v>179200</v>
      </c>
      <c r="J222" s="4">
        <v>33269</v>
      </c>
      <c r="K222" s="4">
        <v>5961804800</v>
      </c>
    </row>
    <row r="223" spans="1:11" x14ac:dyDescent="0.3">
      <c r="A223" s="1">
        <v>45627</v>
      </c>
      <c r="B223">
        <v>2024</v>
      </c>
      <c r="C223">
        <v>12</v>
      </c>
      <c r="D223" t="s">
        <v>11</v>
      </c>
      <c r="E223" t="s">
        <v>18</v>
      </c>
      <c r="F223">
        <v>199</v>
      </c>
      <c r="G223">
        <v>140000</v>
      </c>
      <c r="H223">
        <v>0.28000000000000003</v>
      </c>
      <c r="I223">
        <v>179200</v>
      </c>
      <c r="J223">
        <v>35258</v>
      </c>
      <c r="K223">
        <v>6318233600</v>
      </c>
    </row>
    <row r="224" spans="1:11" x14ac:dyDescent="0.3">
      <c r="A224" s="8">
        <v>45658</v>
      </c>
      <c r="B224" s="4">
        <v>2025</v>
      </c>
      <c r="C224" s="4">
        <v>1</v>
      </c>
      <c r="D224" s="4" t="s">
        <v>11</v>
      </c>
      <c r="E224" s="4" t="s">
        <v>18</v>
      </c>
      <c r="F224" s="4">
        <v>199</v>
      </c>
      <c r="G224" s="4">
        <v>140000</v>
      </c>
      <c r="H224" s="4">
        <v>0.28000000000000003</v>
      </c>
      <c r="I224" s="4">
        <v>179200</v>
      </c>
      <c r="J224" s="4">
        <v>41140</v>
      </c>
      <c r="K224" s="4">
        <v>7372288000</v>
      </c>
    </row>
    <row r="225" spans="1:11" x14ac:dyDescent="0.3">
      <c r="A225" s="1">
        <v>45689</v>
      </c>
      <c r="B225">
        <v>2025</v>
      </c>
      <c r="C225">
        <v>2</v>
      </c>
      <c r="D225" t="s">
        <v>11</v>
      </c>
      <c r="E225" t="s">
        <v>18</v>
      </c>
      <c r="F225">
        <v>199</v>
      </c>
      <c r="G225">
        <v>140000</v>
      </c>
      <c r="H225">
        <v>0.28000000000000003</v>
      </c>
      <c r="I225">
        <v>179200</v>
      </c>
      <c r="J225">
        <v>37016</v>
      </c>
      <c r="K225">
        <v>6633267200</v>
      </c>
    </row>
    <row r="226" spans="1:11" x14ac:dyDescent="0.3">
      <c r="A226" s="8">
        <v>45717</v>
      </c>
      <c r="B226" s="4">
        <v>2025</v>
      </c>
      <c r="C226" s="4">
        <v>3</v>
      </c>
      <c r="D226" s="4" t="s">
        <v>11</v>
      </c>
      <c r="E226" s="4" t="s">
        <v>18</v>
      </c>
      <c r="F226" s="4">
        <v>199</v>
      </c>
      <c r="G226" s="4">
        <v>140000</v>
      </c>
      <c r="H226" s="4">
        <v>0.28000000000000003</v>
      </c>
      <c r="I226" s="4">
        <v>179200</v>
      </c>
      <c r="J226" s="4">
        <v>42445</v>
      </c>
      <c r="K226" s="4">
        <v>7606144000</v>
      </c>
    </row>
    <row r="227" spans="1:11" x14ac:dyDescent="0.3">
      <c r="A227" s="1">
        <v>45748</v>
      </c>
      <c r="B227">
        <v>2025</v>
      </c>
      <c r="C227">
        <v>4</v>
      </c>
      <c r="D227" t="s">
        <v>11</v>
      </c>
      <c r="E227" t="s">
        <v>18</v>
      </c>
      <c r="F227">
        <v>199</v>
      </c>
      <c r="G227">
        <v>140000</v>
      </c>
      <c r="H227">
        <v>0.28000000000000003</v>
      </c>
      <c r="I227">
        <v>179200</v>
      </c>
      <c r="J227">
        <v>38379</v>
      </c>
      <c r="K227">
        <v>6877516800</v>
      </c>
    </row>
    <row r="228" spans="1:11" x14ac:dyDescent="0.3">
      <c r="A228" s="8">
        <v>45778</v>
      </c>
      <c r="B228" s="4">
        <v>2025</v>
      </c>
      <c r="C228" s="4">
        <v>5</v>
      </c>
      <c r="D228" s="4" t="s">
        <v>11</v>
      </c>
      <c r="E228" s="4" t="s">
        <v>18</v>
      </c>
      <c r="F228" s="4">
        <v>199</v>
      </c>
      <c r="G228" s="4">
        <v>140000</v>
      </c>
      <c r="H228" s="4">
        <v>0.28000000000000003</v>
      </c>
      <c r="I228" s="4">
        <v>179200</v>
      </c>
      <c r="J228" s="4">
        <v>50402</v>
      </c>
      <c r="K228" s="4">
        <v>9032038400</v>
      </c>
    </row>
    <row r="229" spans="1:11" x14ac:dyDescent="0.3">
      <c r="A229" s="1">
        <v>45809</v>
      </c>
      <c r="B229">
        <v>2025</v>
      </c>
      <c r="C229">
        <v>6</v>
      </c>
      <c r="D229" t="s">
        <v>11</v>
      </c>
      <c r="E229" t="s">
        <v>18</v>
      </c>
      <c r="F229">
        <v>199</v>
      </c>
      <c r="G229">
        <v>140000</v>
      </c>
      <c r="H229">
        <v>0.28000000000000003</v>
      </c>
      <c r="I229">
        <v>179200</v>
      </c>
      <c r="J229">
        <v>34846</v>
      </c>
      <c r="K229">
        <v>6244403200</v>
      </c>
    </row>
    <row r="230" spans="1:11" x14ac:dyDescent="0.3">
      <c r="A230" s="8">
        <v>45839</v>
      </c>
      <c r="B230" s="4">
        <v>2025</v>
      </c>
      <c r="C230" s="4">
        <v>7</v>
      </c>
      <c r="D230" s="4" t="s">
        <v>11</v>
      </c>
      <c r="E230" s="4" t="s">
        <v>18</v>
      </c>
      <c r="F230" s="4">
        <v>199</v>
      </c>
      <c r="G230" s="4">
        <v>140000</v>
      </c>
      <c r="H230" s="4">
        <v>0.28000000000000003</v>
      </c>
      <c r="I230" s="4">
        <v>179200</v>
      </c>
      <c r="J230" s="4">
        <v>30699</v>
      </c>
      <c r="K230" s="4">
        <v>5501260800</v>
      </c>
    </row>
    <row r="231" spans="1:11" x14ac:dyDescent="0.3">
      <c r="A231" s="1">
        <v>45870</v>
      </c>
      <c r="B231">
        <v>2025</v>
      </c>
      <c r="C231">
        <v>8</v>
      </c>
      <c r="D231" t="s">
        <v>11</v>
      </c>
      <c r="E231" t="s">
        <v>18</v>
      </c>
      <c r="F231">
        <v>199</v>
      </c>
      <c r="G231">
        <v>140000</v>
      </c>
      <c r="H231">
        <v>0.28000000000000003</v>
      </c>
      <c r="I231">
        <v>179200</v>
      </c>
      <c r="J231">
        <v>37762</v>
      </c>
      <c r="K231">
        <v>6766950400</v>
      </c>
    </row>
    <row r="232" spans="1:11" x14ac:dyDescent="0.3">
      <c r="A232" s="8">
        <v>45901</v>
      </c>
      <c r="B232" s="4">
        <v>2025</v>
      </c>
      <c r="C232" s="4">
        <v>9</v>
      </c>
      <c r="D232" s="4" t="s">
        <v>11</v>
      </c>
      <c r="E232" s="4" t="s">
        <v>18</v>
      </c>
      <c r="F232" s="4">
        <v>199</v>
      </c>
      <c r="G232" s="4">
        <v>140000</v>
      </c>
      <c r="H232" s="4">
        <v>0.28000000000000003</v>
      </c>
      <c r="I232" s="4">
        <v>179200</v>
      </c>
      <c r="J232" s="4">
        <v>26530</v>
      </c>
      <c r="K232" s="4">
        <v>4754176000</v>
      </c>
    </row>
    <row r="233" spans="1:11" x14ac:dyDescent="0.3">
      <c r="A233" s="1">
        <v>44927</v>
      </c>
      <c r="B233">
        <v>2023</v>
      </c>
      <c r="C233">
        <v>1</v>
      </c>
      <c r="D233" t="s">
        <v>11</v>
      </c>
      <c r="E233" t="s">
        <v>19</v>
      </c>
      <c r="F233">
        <v>199</v>
      </c>
      <c r="G233">
        <v>165000</v>
      </c>
      <c r="H233">
        <v>0.28000000000000003</v>
      </c>
      <c r="I233">
        <v>211200</v>
      </c>
      <c r="J233">
        <v>20479</v>
      </c>
      <c r="K233">
        <v>4325164800</v>
      </c>
    </row>
    <row r="234" spans="1:11" x14ac:dyDescent="0.3">
      <c r="A234" s="8">
        <v>44958</v>
      </c>
      <c r="B234" s="4">
        <v>2023</v>
      </c>
      <c r="C234" s="4">
        <v>2</v>
      </c>
      <c r="D234" s="4" t="s">
        <v>11</v>
      </c>
      <c r="E234" s="4" t="s">
        <v>19</v>
      </c>
      <c r="F234" s="4">
        <v>199</v>
      </c>
      <c r="G234" s="4">
        <v>165000</v>
      </c>
      <c r="H234" s="4">
        <v>0.28000000000000003</v>
      </c>
      <c r="I234" s="4">
        <v>211200</v>
      </c>
      <c r="J234" s="4">
        <v>22066</v>
      </c>
      <c r="K234" s="4">
        <v>4660339200</v>
      </c>
    </row>
    <row r="235" spans="1:11" x14ac:dyDescent="0.3">
      <c r="A235" s="1">
        <v>44986</v>
      </c>
      <c r="B235">
        <v>2023</v>
      </c>
      <c r="C235">
        <v>3</v>
      </c>
      <c r="D235" t="s">
        <v>11</v>
      </c>
      <c r="E235" t="s">
        <v>19</v>
      </c>
      <c r="F235">
        <v>199</v>
      </c>
      <c r="G235">
        <v>165000</v>
      </c>
      <c r="H235">
        <v>0.28000000000000003</v>
      </c>
      <c r="I235">
        <v>211200</v>
      </c>
      <c r="J235">
        <v>22199</v>
      </c>
      <c r="K235">
        <v>4688428800</v>
      </c>
    </row>
    <row r="236" spans="1:11" x14ac:dyDescent="0.3">
      <c r="A236" s="8">
        <v>45017</v>
      </c>
      <c r="B236" s="4">
        <v>2023</v>
      </c>
      <c r="C236" s="4">
        <v>4</v>
      </c>
      <c r="D236" s="4" t="s">
        <v>11</v>
      </c>
      <c r="E236" s="4" t="s">
        <v>19</v>
      </c>
      <c r="F236" s="4">
        <v>199</v>
      </c>
      <c r="G236" s="4">
        <v>165000</v>
      </c>
      <c r="H236" s="4">
        <v>0.28000000000000003</v>
      </c>
      <c r="I236" s="4">
        <v>211200</v>
      </c>
      <c r="J236" s="4">
        <v>22092</v>
      </c>
      <c r="K236" s="4">
        <v>4665830400</v>
      </c>
    </row>
    <row r="237" spans="1:11" x14ac:dyDescent="0.3">
      <c r="A237" s="1">
        <v>45047</v>
      </c>
      <c r="B237">
        <v>2023</v>
      </c>
      <c r="C237">
        <v>5</v>
      </c>
      <c r="D237" t="s">
        <v>11</v>
      </c>
      <c r="E237" t="s">
        <v>19</v>
      </c>
      <c r="F237">
        <v>199</v>
      </c>
      <c r="G237">
        <v>165000</v>
      </c>
      <c r="H237">
        <v>0.28000000000000003</v>
      </c>
      <c r="I237">
        <v>211200</v>
      </c>
      <c r="J237">
        <v>25488</v>
      </c>
      <c r="K237">
        <v>5383065600</v>
      </c>
    </row>
    <row r="238" spans="1:11" x14ac:dyDescent="0.3">
      <c r="A238" s="8">
        <v>45078</v>
      </c>
      <c r="B238" s="4">
        <v>2023</v>
      </c>
      <c r="C238" s="4">
        <v>6</v>
      </c>
      <c r="D238" s="4" t="s">
        <v>11</v>
      </c>
      <c r="E238" s="4" t="s">
        <v>19</v>
      </c>
      <c r="F238" s="4">
        <v>199</v>
      </c>
      <c r="G238" s="4">
        <v>165000</v>
      </c>
      <c r="H238" s="4">
        <v>0.28000000000000003</v>
      </c>
      <c r="I238" s="4">
        <v>211200</v>
      </c>
      <c r="J238" s="4">
        <v>18642</v>
      </c>
      <c r="K238" s="4">
        <v>3937190400</v>
      </c>
    </row>
    <row r="239" spans="1:11" x14ac:dyDescent="0.3">
      <c r="A239" s="1">
        <v>45108</v>
      </c>
      <c r="B239">
        <v>2023</v>
      </c>
      <c r="C239">
        <v>7</v>
      </c>
      <c r="D239" t="s">
        <v>11</v>
      </c>
      <c r="E239" t="s">
        <v>19</v>
      </c>
      <c r="F239">
        <v>199</v>
      </c>
      <c r="G239">
        <v>165000</v>
      </c>
      <c r="H239">
        <v>0.28000000000000003</v>
      </c>
      <c r="I239">
        <v>211200</v>
      </c>
      <c r="J239">
        <v>16337</v>
      </c>
      <c r="K239">
        <v>3450374400</v>
      </c>
    </row>
    <row r="240" spans="1:11" x14ac:dyDescent="0.3">
      <c r="A240" s="8">
        <v>45139</v>
      </c>
      <c r="B240" s="4">
        <v>2023</v>
      </c>
      <c r="C240" s="4">
        <v>8</v>
      </c>
      <c r="D240" s="4" t="s">
        <v>11</v>
      </c>
      <c r="E240" s="4" t="s">
        <v>19</v>
      </c>
      <c r="F240" s="4">
        <v>199</v>
      </c>
      <c r="G240" s="4">
        <v>165000</v>
      </c>
      <c r="H240" s="4">
        <v>0.28000000000000003</v>
      </c>
      <c r="I240" s="4">
        <v>211200</v>
      </c>
      <c r="J240" s="4">
        <v>17258</v>
      </c>
      <c r="K240" s="4">
        <v>3644889600</v>
      </c>
    </row>
    <row r="241" spans="1:11" x14ac:dyDescent="0.3">
      <c r="A241" s="1">
        <v>45170</v>
      </c>
      <c r="B241">
        <v>2023</v>
      </c>
      <c r="C241">
        <v>9</v>
      </c>
      <c r="D241" t="s">
        <v>11</v>
      </c>
      <c r="E241" t="s">
        <v>19</v>
      </c>
      <c r="F241">
        <v>199</v>
      </c>
      <c r="G241">
        <v>165000</v>
      </c>
      <c r="H241">
        <v>0.28000000000000003</v>
      </c>
      <c r="I241">
        <v>211200</v>
      </c>
      <c r="J241">
        <v>14717</v>
      </c>
      <c r="K241">
        <v>3108230400</v>
      </c>
    </row>
    <row r="242" spans="1:11" x14ac:dyDescent="0.3">
      <c r="A242" s="8">
        <v>45200</v>
      </c>
      <c r="B242" s="4">
        <v>2023</v>
      </c>
      <c r="C242" s="4">
        <v>10</v>
      </c>
      <c r="D242" s="4" t="s">
        <v>11</v>
      </c>
      <c r="E242" s="4" t="s">
        <v>19</v>
      </c>
      <c r="F242" s="4">
        <v>199</v>
      </c>
      <c r="G242" s="4">
        <v>165000</v>
      </c>
      <c r="H242" s="4">
        <v>0.28000000000000003</v>
      </c>
      <c r="I242" s="4">
        <v>211200</v>
      </c>
      <c r="J242" s="4">
        <v>17012</v>
      </c>
      <c r="K242" s="4">
        <v>3592934400</v>
      </c>
    </row>
    <row r="243" spans="1:11" x14ac:dyDescent="0.3">
      <c r="A243" s="1">
        <v>45231</v>
      </c>
      <c r="B243">
        <v>2023</v>
      </c>
      <c r="C243">
        <v>11</v>
      </c>
      <c r="D243" t="s">
        <v>11</v>
      </c>
      <c r="E243" t="s">
        <v>19</v>
      </c>
      <c r="F243">
        <v>199</v>
      </c>
      <c r="G243">
        <v>165000</v>
      </c>
      <c r="H243">
        <v>0.28000000000000003</v>
      </c>
      <c r="I243">
        <v>211200</v>
      </c>
      <c r="J243">
        <v>15655</v>
      </c>
      <c r="K243">
        <v>3306336000</v>
      </c>
    </row>
    <row r="244" spans="1:11" x14ac:dyDescent="0.3">
      <c r="A244" s="8">
        <v>45261</v>
      </c>
      <c r="B244" s="4">
        <v>2023</v>
      </c>
      <c r="C244" s="4">
        <v>12</v>
      </c>
      <c r="D244" s="4" t="s">
        <v>11</v>
      </c>
      <c r="E244" s="4" t="s">
        <v>19</v>
      </c>
      <c r="F244" s="4">
        <v>199</v>
      </c>
      <c r="G244" s="4">
        <v>165000</v>
      </c>
      <c r="H244" s="4">
        <v>0.28000000000000003</v>
      </c>
      <c r="I244" s="4">
        <v>211200</v>
      </c>
      <c r="J244" s="4">
        <v>21193</v>
      </c>
      <c r="K244" s="4">
        <v>4475961600</v>
      </c>
    </row>
    <row r="245" spans="1:11" x14ac:dyDescent="0.3">
      <c r="A245" s="1">
        <v>45292</v>
      </c>
      <c r="B245">
        <v>2024</v>
      </c>
      <c r="C245">
        <v>1</v>
      </c>
      <c r="D245" t="s">
        <v>11</v>
      </c>
      <c r="E245" t="s">
        <v>19</v>
      </c>
      <c r="F245">
        <v>199</v>
      </c>
      <c r="G245">
        <v>165000</v>
      </c>
      <c r="H245">
        <v>0.28000000000000003</v>
      </c>
      <c r="I245">
        <v>211200</v>
      </c>
      <c r="J245">
        <v>23188</v>
      </c>
      <c r="K245">
        <v>4897305600</v>
      </c>
    </row>
    <row r="246" spans="1:11" x14ac:dyDescent="0.3">
      <c r="A246" s="8">
        <v>45323</v>
      </c>
      <c r="B246" s="4">
        <v>2024</v>
      </c>
      <c r="C246" s="4">
        <v>2</v>
      </c>
      <c r="D246" s="4" t="s">
        <v>11</v>
      </c>
      <c r="E246" s="4" t="s">
        <v>19</v>
      </c>
      <c r="F246" s="4">
        <v>199</v>
      </c>
      <c r="G246" s="4">
        <v>165000</v>
      </c>
      <c r="H246" s="4">
        <v>0.28000000000000003</v>
      </c>
      <c r="I246" s="4">
        <v>211200</v>
      </c>
      <c r="J246" s="4">
        <v>26974</v>
      </c>
      <c r="K246" s="4">
        <v>5696908800</v>
      </c>
    </row>
    <row r="247" spans="1:11" x14ac:dyDescent="0.3">
      <c r="A247" s="1">
        <v>45352</v>
      </c>
      <c r="B247">
        <v>2024</v>
      </c>
      <c r="C247">
        <v>3</v>
      </c>
      <c r="D247" t="s">
        <v>11</v>
      </c>
      <c r="E247" t="s">
        <v>19</v>
      </c>
      <c r="F247">
        <v>199</v>
      </c>
      <c r="G247">
        <v>165000</v>
      </c>
      <c r="H247">
        <v>0.28000000000000003</v>
      </c>
      <c r="I247">
        <v>211200</v>
      </c>
      <c r="J247">
        <v>24027</v>
      </c>
      <c r="K247">
        <v>5074502400</v>
      </c>
    </row>
    <row r="248" spans="1:11" x14ac:dyDescent="0.3">
      <c r="A248" s="8">
        <v>45383</v>
      </c>
      <c r="B248" s="4">
        <v>2024</v>
      </c>
      <c r="C248" s="4">
        <v>4</v>
      </c>
      <c r="D248" s="4" t="s">
        <v>11</v>
      </c>
      <c r="E248" s="4" t="s">
        <v>19</v>
      </c>
      <c r="F248" s="4">
        <v>199</v>
      </c>
      <c r="G248" s="4">
        <v>165000</v>
      </c>
      <c r="H248" s="4">
        <v>0.28000000000000003</v>
      </c>
      <c r="I248" s="4">
        <v>211200</v>
      </c>
      <c r="J248" s="4">
        <v>25485</v>
      </c>
      <c r="K248" s="4">
        <v>5382432000</v>
      </c>
    </row>
    <row r="249" spans="1:11" x14ac:dyDescent="0.3">
      <c r="A249" s="1">
        <v>45413</v>
      </c>
      <c r="B249">
        <v>2024</v>
      </c>
      <c r="C249">
        <v>5</v>
      </c>
      <c r="D249" t="s">
        <v>11</v>
      </c>
      <c r="E249" t="s">
        <v>19</v>
      </c>
      <c r="F249">
        <v>199</v>
      </c>
      <c r="G249">
        <v>165000</v>
      </c>
      <c r="H249">
        <v>0.28000000000000003</v>
      </c>
      <c r="I249">
        <v>211200</v>
      </c>
      <c r="J249">
        <v>19685</v>
      </c>
      <c r="K249">
        <v>4157472000</v>
      </c>
    </row>
    <row r="250" spans="1:11" x14ac:dyDescent="0.3">
      <c r="A250" s="8">
        <v>45444</v>
      </c>
      <c r="B250" s="4">
        <v>2024</v>
      </c>
      <c r="C250" s="4">
        <v>6</v>
      </c>
      <c r="D250" s="4" t="s">
        <v>11</v>
      </c>
      <c r="E250" s="4" t="s">
        <v>19</v>
      </c>
      <c r="F250" s="4">
        <v>199</v>
      </c>
      <c r="G250" s="4">
        <v>165000</v>
      </c>
      <c r="H250" s="4">
        <v>0.28000000000000003</v>
      </c>
      <c r="I250" s="4">
        <v>211200</v>
      </c>
      <c r="J250" s="4">
        <v>23048</v>
      </c>
      <c r="K250" s="4">
        <v>4867737600</v>
      </c>
    </row>
    <row r="251" spans="1:11" x14ac:dyDescent="0.3">
      <c r="A251" s="1">
        <v>45474</v>
      </c>
      <c r="B251">
        <v>2024</v>
      </c>
      <c r="C251">
        <v>7</v>
      </c>
      <c r="D251" t="s">
        <v>11</v>
      </c>
      <c r="E251" t="s">
        <v>19</v>
      </c>
      <c r="F251">
        <v>199</v>
      </c>
      <c r="G251">
        <v>165000</v>
      </c>
      <c r="H251">
        <v>0.28000000000000003</v>
      </c>
      <c r="I251">
        <v>211200</v>
      </c>
      <c r="J251">
        <v>19226</v>
      </c>
      <c r="K251">
        <v>4060531200</v>
      </c>
    </row>
    <row r="252" spans="1:11" x14ac:dyDescent="0.3">
      <c r="A252" s="8">
        <v>45505</v>
      </c>
      <c r="B252" s="4">
        <v>2024</v>
      </c>
      <c r="C252" s="4">
        <v>8</v>
      </c>
      <c r="D252" s="4" t="s">
        <v>11</v>
      </c>
      <c r="E252" s="4" t="s">
        <v>19</v>
      </c>
      <c r="F252" s="4">
        <v>199</v>
      </c>
      <c r="G252" s="4">
        <v>165000</v>
      </c>
      <c r="H252" s="4">
        <v>0.28000000000000003</v>
      </c>
      <c r="I252" s="4">
        <v>211200</v>
      </c>
      <c r="J252" s="4">
        <v>16677</v>
      </c>
      <c r="K252" s="4">
        <v>3522182400</v>
      </c>
    </row>
    <row r="253" spans="1:11" x14ac:dyDescent="0.3">
      <c r="A253" s="1">
        <v>45536</v>
      </c>
      <c r="B253">
        <v>2024</v>
      </c>
      <c r="C253">
        <v>9</v>
      </c>
      <c r="D253" t="s">
        <v>11</v>
      </c>
      <c r="E253" t="s">
        <v>19</v>
      </c>
      <c r="F253">
        <v>199</v>
      </c>
      <c r="G253">
        <v>165000</v>
      </c>
      <c r="H253">
        <v>0.28000000000000003</v>
      </c>
      <c r="I253">
        <v>211200</v>
      </c>
      <c r="J253">
        <v>15840</v>
      </c>
      <c r="K253">
        <v>3345408000</v>
      </c>
    </row>
    <row r="254" spans="1:11" x14ac:dyDescent="0.3">
      <c r="A254" s="8">
        <v>45566</v>
      </c>
      <c r="B254" s="4">
        <v>2024</v>
      </c>
      <c r="C254" s="4">
        <v>10</v>
      </c>
      <c r="D254" s="4" t="s">
        <v>11</v>
      </c>
      <c r="E254" s="4" t="s">
        <v>19</v>
      </c>
      <c r="F254" s="4">
        <v>199</v>
      </c>
      <c r="G254" s="4">
        <v>165000</v>
      </c>
      <c r="H254" s="4">
        <v>0.28000000000000003</v>
      </c>
      <c r="I254" s="4">
        <v>211200</v>
      </c>
      <c r="J254" s="4">
        <v>16054</v>
      </c>
      <c r="K254" s="4">
        <v>3390604800</v>
      </c>
    </row>
    <row r="255" spans="1:11" x14ac:dyDescent="0.3">
      <c r="A255" s="1">
        <v>45597</v>
      </c>
      <c r="B255">
        <v>2024</v>
      </c>
      <c r="C255">
        <v>11</v>
      </c>
      <c r="D255" t="s">
        <v>11</v>
      </c>
      <c r="E255" t="s">
        <v>19</v>
      </c>
      <c r="F255">
        <v>199</v>
      </c>
      <c r="G255">
        <v>165000</v>
      </c>
      <c r="H255">
        <v>0.28000000000000003</v>
      </c>
      <c r="I255">
        <v>211200</v>
      </c>
      <c r="J255">
        <v>18368</v>
      </c>
      <c r="K255">
        <v>3879321600</v>
      </c>
    </row>
    <row r="256" spans="1:11" x14ac:dyDescent="0.3">
      <c r="A256" s="8">
        <v>45627</v>
      </c>
      <c r="B256" s="4">
        <v>2024</v>
      </c>
      <c r="C256" s="4">
        <v>12</v>
      </c>
      <c r="D256" s="4" t="s">
        <v>11</v>
      </c>
      <c r="E256" s="4" t="s">
        <v>19</v>
      </c>
      <c r="F256" s="4">
        <v>199</v>
      </c>
      <c r="G256" s="4">
        <v>165000</v>
      </c>
      <c r="H256" s="4">
        <v>0.28000000000000003</v>
      </c>
      <c r="I256" s="4">
        <v>211200</v>
      </c>
      <c r="J256" s="4">
        <v>21442</v>
      </c>
      <c r="K256" s="4">
        <v>4528550400</v>
      </c>
    </row>
    <row r="257" spans="1:11" x14ac:dyDescent="0.3">
      <c r="A257" s="1">
        <v>45658</v>
      </c>
      <c r="B257">
        <v>2025</v>
      </c>
      <c r="C257">
        <v>1</v>
      </c>
      <c r="D257" t="s">
        <v>11</v>
      </c>
      <c r="E257" t="s">
        <v>19</v>
      </c>
      <c r="F257">
        <v>199</v>
      </c>
      <c r="G257">
        <v>165000</v>
      </c>
      <c r="H257">
        <v>0.28000000000000003</v>
      </c>
      <c r="I257">
        <v>211200</v>
      </c>
      <c r="J257">
        <v>21315</v>
      </c>
      <c r="K257">
        <v>4501728000</v>
      </c>
    </row>
    <row r="258" spans="1:11" x14ac:dyDescent="0.3">
      <c r="A258" s="8">
        <v>45689</v>
      </c>
      <c r="B258" s="4">
        <v>2025</v>
      </c>
      <c r="C258" s="4">
        <v>2</v>
      </c>
      <c r="D258" s="4" t="s">
        <v>11</v>
      </c>
      <c r="E258" s="4" t="s">
        <v>19</v>
      </c>
      <c r="F258" s="4">
        <v>199</v>
      </c>
      <c r="G258" s="4">
        <v>165000</v>
      </c>
      <c r="H258" s="4">
        <v>0.28000000000000003</v>
      </c>
      <c r="I258" s="4">
        <v>211200</v>
      </c>
      <c r="J258" s="4">
        <v>27307</v>
      </c>
      <c r="K258" s="4">
        <v>5767238400</v>
      </c>
    </row>
    <row r="259" spans="1:11" x14ac:dyDescent="0.3">
      <c r="A259" s="1">
        <v>45717</v>
      </c>
      <c r="B259">
        <v>2025</v>
      </c>
      <c r="C259">
        <v>3</v>
      </c>
      <c r="D259" t="s">
        <v>11</v>
      </c>
      <c r="E259" t="s">
        <v>19</v>
      </c>
      <c r="F259">
        <v>199</v>
      </c>
      <c r="G259">
        <v>165000</v>
      </c>
      <c r="H259">
        <v>0.28000000000000003</v>
      </c>
      <c r="I259">
        <v>211200</v>
      </c>
      <c r="J259">
        <v>19883</v>
      </c>
      <c r="K259">
        <v>4199289600</v>
      </c>
    </row>
    <row r="260" spans="1:11" x14ac:dyDescent="0.3">
      <c r="A260" s="8">
        <v>45748</v>
      </c>
      <c r="B260" s="4">
        <v>2025</v>
      </c>
      <c r="C260" s="4">
        <v>4</v>
      </c>
      <c r="D260" s="4" t="s">
        <v>11</v>
      </c>
      <c r="E260" s="4" t="s">
        <v>19</v>
      </c>
      <c r="F260" s="4">
        <v>199</v>
      </c>
      <c r="G260" s="4">
        <v>165000</v>
      </c>
      <c r="H260" s="4">
        <v>0.28000000000000003</v>
      </c>
      <c r="I260" s="4">
        <v>211200</v>
      </c>
      <c r="J260" s="4">
        <v>20341</v>
      </c>
      <c r="K260" s="4">
        <v>4296019200</v>
      </c>
    </row>
    <row r="261" spans="1:11" x14ac:dyDescent="0.3">
      <c r="A261" s="1">
        <v>45778</v>
      </c>
      <c r="B261">
        <v>2025</v>
      </c>
      <c r="C261">
        <v>5</v>
      </c>
      <c r="D261" t="s">
        <v>11</v>
      </c>
      <c r="E261" t="s">
        <v>19</v>
      </c>
      <c r="F261">
        <v>199</v>
      </c>
      <c r="G261">
        <v>165000</v>
      </c>
      <c r="H261">
        <v>0.28000000000000003</v>
      </c>
      <c r="I261">
        <v>211200</v>
      </c>
      <c r="J261">
        <v>18879</v>
      </c>
      <c r="K261">
        <v>3987244800</v>
      </c>
    </row>
    <row r="262" spans="1:11" x14ac:dyDescent="0.3">
      <c r="A262" s="8">
        <v>45809</v>
      </c>
      <c r="B262" s="4">
        <v>2025</v>
      </c>
      <c r="C262" s="4">
        <v>6</v>
      </c>
      <c r="D262" s="4" t="s">
        <v>11</v>
      </c>
      <c r="E262" s="4" t="s">
        <v>19</v>
      </c>
      <c r="F262" s="4">
        <v>199</v>
      </c>
      <c r="G262" s="4">
        <v>165000</v>
      </c>
      <c r="H262" s="4">
        <v>0.28000000000000003</v>
      </c>
      <c r="I262" s="4">
        <v>211200</v>
      </c>
      <c r="J262" s="4">
        <v>20861</v>
      </c>
      <c r="K262" s="4">
        <v>4405843200</v>
      </c>
    </row>
    <row r="263" spans="1:11" x14ac:dyDescent="0.3">
      <c r="A263" s="1">
        <v>45839</v>
      </c>
      <c r="B263">
        <v>2025</v>
      </c>
      <c r="C263">
        <v>7</v>
      </c>
      <c r="D263" t="s">
        <v>11</v>
      </c>
      <c r="E263" t="s">
        <v>19</v>
      </c>
      <c r="F263">
        <v>199</v>
      </c>
      <c r="G263">
        <v>165000</v>
      </c>
      <c r="H263">
        <v>0.28000000000000003</v>
      </c>
      <c r="I263">
        <v>211200</v>
      </c>
      <c r="J263">
        <v>15320</v>
      </c>
      <c r="K263">
        <v>3235584000</v>
      </c>
    </row>
    <row r="264" spans="1:11" x14ac:dyDescent="0.3">
      <c r="A264" s="8">
        <v>45870</v>
      </c>
      <c r="B264" s="4">
        <v>2025</v>
      </c>
      <c r="C264" s="4">
        <v>8</v>
      </c>
      <c r="D264" s="4" t="s">
        <v>11</v>
      </c>
      <c r="E264" s="4" t="s">
        <v>19</v>
      </c>
      <c r="F264" s="4">
        <v>199</v>
      </c>
      <c r="G264" s="4">
        <v>165000</v>
      </c>
      <c r="H264" s="4">
        <v>0.28000000000000003</v>
      </c>
      <c r="I264" s="4">
        <v>211200</v>
      </c>
      <c r="J264" s="4">
        <v>17984</v>
      </c>
      <c r="K264" s="4">
        <v>3798220800</v>
      </c>
    </row>
    <row r="265" spans="1:11" x14ac:dyDescent="0.3">
      <c r="A265" s="1">
        <v>45901</v>
      </c>
      <c r="B265">
        <v>2025</v>
      </c>
      <c r="C265">
        <v>9</v>
      </c>
      <c r="D265" t="s">
        <v>11</v>
      </c>
      <c r="E265" t="s">
        <v>19</v>
      </c>
      <c r="F265">
        <v>199</v>
      </c>
      <c r="G265">
        <v>165000</v>
      </c>
      <c r="H265">
        <v>0.28000000000000003</v>
      </c>
      <c r="I265">
        <v>211200</v>
      </c>
      <c r="J265">
        <v>15077</v>
      </c>
      <c r="K265">
        <v>3184262400</v>
      </c>
    </row>
    <row r="266" spans="1:11" x14ac:dyDescent="0.3">
      <c r="A266" s="8">
        <v>44927</v>
      </c>
      <c r="B266" s="4">
        <v>2023</v>
      </c>
      <c r="C266" s="4">
        <v>1</v>
      </c>
      <c r="D266" s="4" t="s">
        <v>11</v>
      </c>
      <c r="E266" s="4" t="s">
        <v>20</v>
      </c>
      <c r="F266" s="4">
        <v>220</v>
      </c>
      <c r="G266" s="4">
        <v>140000</v>
      </c>
      <c r="H266" s="4">
        <v>0.28000000000000003</v>
      </c>
      <c r="I266" s="4">
        <v>179200</v>
      </c>
      <c r="J266" s="4">
        <v>39738</v>
      </c>
      <c r="K266" s="4">
        <v>7121049600</v>
      </c>
    </row>
    <row r="267" spans="1:11" x14ac:dyDescent="0.3">
      <c r="A267" s="1">
        <v>44958</v>
      </c>
      <c r="B267">
        <v>2023</v>
      </c>
      <c r="C267">
        <v>2</v>
      </c>
      <c r="D267" t="s">
        <v>11</v>
      </c>
      <c r="E267" t="s">
        <v>20</v>
      </c>
      <c r="F267">
        <v>220</v>
      </c>
      <c r="G267">
        <v>140000</v>
      </c>
      <c r="H267">
        <v>0.28000000000000003</v>
      </c>
      <c r="I267">
        <v>179200</v>
      </c>
      <c r="J267">
        <v>44578</v>
      </c>
      <c r="K267">
        <v>7988377600</v>
      </c>
    </row>
    <row r="268" spans="1:11" x14ac:dyDescent="0.3">
      <c r="A268" s="8">
        <v>44986</v>
      </c>
      <c r="B268" s="4">
        <v>2023</v>
      </c>
      <c r="C268" s="4">
        <v>3</v>
      </c>
      <c r="D268" s="4" t="s">
        <v>11</v>
      </c>
      <c r="E268" s="4" t="s">
        <v>20</v>
      </c>
      <c r="F268" s="4">
        <v>220</v>
      </c>
      <c r="G268" s="4">
        <v>140000</v>
      </c>
      <c r="H268" s="4">
        <v>0.28000000000000003</v>
      </c>
      <c r="I268" s="4">
        <v>179200</v>
      </c>
      <c r="J268" s="4">
        <v>41902</v>
      </c>
      <c r="K268" s="4">
        <v>7508838400</v>
      </c>
    </row>
    <row r="269" spans="1:11" x14ac:dyDescent="0.3">
      <c r="A269" s="1">
        <v>45017</v>
      </c>
      <c r="B269">
        <v>2023</v>
      </c>
      <c r="C269">
        <v>4</v>
      </c>
      <c r="D269" t="s">
        <v>11</v>
      </c>
      <c r="E269" t="s">
        <v>20</v>
      </c>
      <c r="F269">
        <v>220</v>
      </c>
      <c r="G269">
        <v>140000</v>
      </c>
      <c r="H269">
        <v>0.28000000000000003</v>
      </c>
      <c r="I269">
        <v>179200</v>
      </c>
      <c r="J269">
        <v>43002</v>
      </c>
      <c r="K269">
        <v>7705958400</v>
      </c>
    </row>
    <row r="270" spans="1:11" x14ac:dyDescent="0.3">
      <c r="A270" s="8">
        <v>45047</v>
      </c>
      <c r="B270" s="4">
        <v>2023</v>
      </c>
      <c r="C270" s="4">
        <v>5</v>
      </c>
      <c r="D270" s="4" t="s">
        <v>11</v>
      </c>
      <c r="E270" s="4" t="s">
        <v>20</v>
      </c>
      <c r="F270" s="4">
        <v>220</v>
      </c>
      <c r="G270" s="4">
        <v>140000</v>
      </c>
      <c r="H270" s="4">
        <v>0.28000000000000003</v>
      </c>
      <c r="I270" s="4">
        <v>179200</v>
      </c>
      <c r="J270" s="4">
        <v>39472</v>
      </c>
      <c r="K270" s="4">
        <v>7073382400</v>
      </c>
    </row>
    <row r="271" spans="1:11" x14ac:dyDescent="0.3">
      <c r="A271" s="1">
        <v>45078</v>
      </c>
      <c r="B271">
        <v>2023</v>
      </c>
      <c r="C271">
        <v>6</v>
      </c>
      <c r="D271" t="s">
        <v>11</v>
      </c>
      <c r="E271" t="s">
        <v>20</v>
      </c>
      <c r="F271">
        <v>220</v>
      </c>
      <c r="G271">
        <v>140000</v>
      </c>
      <c r="H271">
        <v>0.28000000000000003</v>
      </c>
      <c r="I271">
        <v>179200</v>
      </c>
      <c r="J271">
        <v>44394</v>
      </c>
      <c r="K271">
        <v>7955404800</v>
      </c>
    </row>
    <row r="272" spans="1:11" x14ac:dyDescent="0.3">
      <c r="A272" s="8">
        <v>45108</v>
      </c>
      <c r="B272" s="4">
        <v>2023</v>
      </c>
      <c r="C272" s="4">
        <v>7</v>
      </c>
      <c r="D272" s="4" t="s">
        <v>11</v>
      </c>
      <c r="E272" s="4" t="s">
        <v>20</v>
      </c>
      <c r="F272" s="4">
        <v>220</v>
      </c>
      <c r="G272" s="4">
        <v>140000</v>
      </c>
      <c r="H272" s="4">
        <v>0.28000000000000003</v>
      </c>
      <c r="I272" s="4">
        <v>179200</v>
      </c>
      <c r="J272" s="4">
        <v>35638</v>
      </c>
      <c r="K272" s="4">
        <v>6386329600</v>
      </c>
    </row>
    <row r="273" spans="1:11" x14ac:dyDescent="0.3">
      <c r="A273" s="1">
        <v>45139</v>
      </c>
      <c r="B273">
        <v>2023</v>
      </c>
      <c r="C273">
        <v>8</v>
      </c>
      <c r="D273" t="s">
        <v>11</v>
      </c>
      <c r="E273" t="s">
        <v>20</v>
      </c>
      <c r="F273">
        <v>220</v>
      </c>
      <c r="G273">
        <v>140000</v>
      </c>
      <c r="H273">
        <v>0.28000000000000003</v>
      </c>
      <c r="I273">
        <v>179200</v>
      </c>
      <c r="J273">
        <v>37951</v>
      </c>
      <c r="K273">
        <v>6800819200</v>
      </c>
    </row>
    <row r="274" spans="1:11" x14ac:dyDescent="0.3">
      <c r="A274" s="8">
        <v>45170</v>
      </c>
      <c r="B274" s="4">
        <v>2023</v>
      </c>
      <c r="C274" s="4">
        <v>9</v>
      </c>
      <c r="D274" s="4" t="s">
        <v>11</v>
      </c>
      <c r="E274" s="4" t="s">
        <v>20</v>
      </c>
      <c r="F274" s="4">
        <v>220</v>
      </c>
      <c r="G274" s="4">
        <v>140000</v>
      </c>
      <c r="H274" s="4">
        <v>0.28000000000000003</v>
      </c>
      <c r="I274" s="4">
        <v>179200</v>
      </c>
      <c r="J274" s="4">
        <v>31560</v>
      </c>
      <c r="K274" s="4">
        <v>5655552000</v>
      </c>
    </row>
    <row r="275" spans="1:11" x14ac:dyDescent="0.3">
      <c r="A275" s="1">
        <v>45200</v>
      </c>
      <c r="B275">
        <v>2023</v>
      </c>
      <c r="C275">
        <v>10</v>
      </c>
      <c r="D275" t="s">
        <v>11</v>
      </c>
      <c r="E275" t="s">
        <v>20</v>
      </c>
      <c r="F275">
        <v>220</v>
      </c>
      <c r="G275">
        <v>140000</v>
      </c>
      <c r="H275">
        <v>0.28000000000000003</v>
      </c>
      <c r="I275">
        <v>179200</v>
      </c>
      <c r="J275">
        <v>31171</v>
      </c>
      <c r="K275">
        <v>5585843200</v>
      </c>
    </row>
    <row r="276" spans="1:11" x14ac:dyDescent="0.3">
      <c r="A276" s="8">
        <v>45231</v>
      </c>
      <c r="B276" s="4">
        <v>2023</v>
      </c>
      <c r="C276" s="4">
        <v>11</v>
      </c>
      <c r="D276" s="4" t="s">
        <v>11</v>
      </c>
      <c r="E276" s="4" t="s">
        <v>20</v>
      </c>
      <c r="F276" s="4">
        <v>220</v>
      </c>
      <c r="G276" s="4">
        <v>140000</v>
      </c>
      <c r="H276" s="4">
        <v>0.28000000000000003</v>
      </c>
      <c r="I276" s="4">
        <v>179200</v>
      </c>
      <c r="J276" s="4">
        <v>34431</v>
      </c>
      <c r="K276" s="4">
        <v>6170035200</v>
      </c>
    </row>
    <row r="277" spans="1:11" x14ac:dyDescent="0.3">
      <c r="A277" s="1">
        <v>45261</v>
      </c>
      <c r="B277">
        <v>2023</v>
      </c>
      <c r="C277">
        <v>12</v>
      </c>
      <c r="D277" t="s">
        <v>11</v>
      </c>
      <c r="E277" t="s">
        <v>20</v>
      </c>
      <c r="F277">
        <v>220</v>
      </c>
      <c r="G277">
        <v>140000</v>
      </c>
      <c r="H277">
        <v>0.28000000000000003</v>
      </c>
      <c r="I277">
        <v>179200</v>
      </c>
      <c r="J277">
        <v>42490</v>
      </c>
      <c r="K277">
        <v>7614208000</v>
      </c>
    </row>
    <row r="278" spans="1:11" x14ac:dyDescent="0.3">
      <c r="A278" s="8">
        <v>45292</v>
      </c>
      <c r="B278" s="4">
        <v>2024</v>
      </c>
      <c r="C278" s="4">
        <v>1</v>
      </c>
      <c r="D278" s="4" t="s">
        <v>11</v>
      </c>
      <c r="E278" s="4" t="s">
        <v>20</v>
      </c>
      <c r="F278" s="4">
        <v>220</v>
      </c>
      <c r="G278" s="4">
        <v>140000</v>
      </c>
      <c r="H278" s="4">
        <v>0.28000000000000003</v>
      </c>
      <c r="I278" s="4">
        <v>179200</v>
      </c>
      <c r="J278" s="4">
        <v>46052</v>
      </c>
      <c r="K278" s="4">
        <v>8252518400</v>
      </c>
    </row>
    <row r="279" spans="1:11" x14ac:dyDescent="0.3">
      <c r="A279" s="1">
        <v>45323</v>
      </c>
      <c r="B279">
        <v>2024</v>
      </c>
      <c r="C279">
        <v>2</v>
      </c>
      <c r="D279" t="s">
        <v>11</v>
      </c>
      <c r="E279" t="s">
        <v>20</v>
      </c>
      <c r="F279">
        <v>220</v>
      </c>
      <c r="G279">
        <v>140000</v>
      </c>
      <c r="H279">
        <v>0.28000000000000003</v>
      </c>
      <c r="I279">
        <v>179200</v>
      </c>
      <c r="J279">
        <v>47837</v>
      </c>
      <c r="K279">
        <v>8572390400</v>
      </c>
    </row>
    <row r="280" spans="1:11" x14ac:dyDescent="0.3">
      <c r="A280" s="8">
        <v>45352</v>
      </c>
      <c r="B280" s="4">
        <v>2024</v>
      </c>
      <c r="C280" s="4">
        <v>3</v>
      </c>
      <c r="D280" s="4" t="s">
        <v>11</v>
      </c>
      <c r="E280" s="4" t="s">
        <v>20</v>
      </c>
      <c r="F280" s="4">
        <v>220</v>
      </c>
      <c r="G280" s="4">
        <v>140000</v>
      </c>
      <c r="H280" s="4">
        <v>0.28000000000000003</v>
      </c>
      <c r="I280" s="4">
        <v>179200</v>
      </c>
      <c r="J280" s="4">
        <v>46651</v>
      </c>
      <c r="K280" s="4">
        <v>8359859200</v>
      </c>
    </row>
    <row r="281" spans="1:11" x14ac:dyDescent="0.3">
      <c r="A281" s="1">
        <v>45383</v>
      </c>
      <c r="B281">
        <v>2024</v>
      </c>
      <c r="C281">
        <v>4</v>
      </c>
      <c r="D281" t="s">
        <v>11</v>
      </c>
      <c r="E281" t="s">
        <v>20</v>
      </c>
      <c r="F281">
        <v>220</v>
      </c>
      <c r="G281">
        <v>140000</v>
      </c>
      <c r="H281">
        <v>0.28000000000000003</v>
      </c>
      <c r="I281">
        <v>179200</v>
      </c>
      <c r="J281">
        <v>49344</v>
      </c>
      <c r="K281">
        <v>8842444800</v>
      </c>
    </row>
    <row r="282" spans="1:11" x14ac:dyDescent="0.3">
      <c r="A282" s="8">
        <v>45413</v>
      </c>
      <c r="B282" s="4">
        <v>2024</v>
      </c>
      <c r="C282" s="4">
        <v>5</v>
      </c>
      <c r="D282" s="4" t="s">
        <v>11</v>
      </c>
      <c r="E282" s="4" t="s">
        <v>20</v>
      </c>
      <c r="F282" s="4">
        <v>220</v>
      </c>
      <c r="G282" s="4">
        <v>140000</v>
      </c>
      <c r="H282" s="4">
        <v>0.28000000000000003</v>
      </c>
      <c r="I282" s="4">
        <v>179200</v>
      </c>
      <c r="J282" s="4">
        <v>35386</v>
      </c>
      <c r="K282" s="4">
        <v>6341171200</v>
      </c>
    </row>
    <row r="283" spans="1:11" x14ac:dyDescent="0.3">
      <c r="A283" s="1">
        <v>45444</v>
      </c>
      <c r="B283">
        <v>2024</v>
      </c>
      <c r="C283">
        <v>6</v>
      </c>
      <c r="D283" t="s">
        <v>11</v>
      </c>
      <c r="E283" t="s">
        <v>20</v>
      </c>
      <c r="F283">
        <v>220</v>
      </c>
      <c r="G283">
        <v>140000</v>
      </c>
      <c r="H283">
        <v>0.28000000000000003</v>
      </c>
      <c r="I283">
        <v>179200</v>
      </c>
      <c r="J283">
        <v>44890</v>
      </c>
      <c r="K283">
        <v>8044288000</v>
      </c>
    </row>
    <row r="284" spans="1:11" x14ac:dyDescent="0.3">
      <c r="A284" s="8">
        <v>45474</v>
      </c>
      <c r="B284" s="4">
        <v>2024</v>
      </c>
      <c r="C284" s="4">
        <v>7</v>
      </c>
      <c r="D284" s="4" t="s">
        <v>11</v>
      </c>
      <c r="E284" s="4" t="s">
        <v>20</v>
      </c>
      <c r="F284" s="4">
        <v>220</v>
      </c>
      <c r="G284" s="4">
        <v>140000</v>
      </c>
      <c r="H284" s="4">
        <v>0.28000000000000003</v>
      </c>
      <c r="I284" s="4">
        <v>179200</v>
      </c>
      <c r="J284" s="4">
        <v>39212</v>
      </c>
      <c r="K284" s="4">
        <v>7026790400</v>
      </c>
    </row>
    <row r="285" spans="1:11" x14ac:dyDescent="0.3">
      <c r="A285" s="1">
        <v>45505</v>
      </c>
      <c r="B285">
        <v>2024</v>
      </c>
      <c r="C285">
        <v>8</v>
      </c>
      <c r="D285" t="s">
        <v>11</v>
      </c>
      <c r="E285" t="s">
        <v>20</v>
      </c>
      <c r="F285">
        <v>220</v>
      </c>
      <c r="G285">
        <v>140000</v>
      </c>
      <c r="H285">
        <v>0.28000000000000003</v>
      </c>
      <c r="I285">
        <v>179200</v>
      </c>
      <c r="J285">
        <v>36656</v>
      </c>
      <c r="K285">
        <v>6568755200</v>
      </c>
    </row>
    <row r="286" spans="1:11" x14ac:dyDescent="0.3">
      <c r="A286" s="8">
        <v>45536</v>
      </c>
      <c r="B286" s="4">
        <v>2024</v>
      </c>
      <c r="C286" s="4">
        <v>9</v>
      </c>
      <c r="D286" s="4" t="s">
        <v>11</v>
      </c>
      <c r="E286" s="4" t="s">
        <v>20</v>
      </c>
      <c r="F286" s="4">
        <v>220</v>
      </c>
      <c r="G286" s="4">
        <v>140000</v>
      </c>
      <c r="H286" s="4">
        <v>0.28000000000000003</v>
      </c>
      <c r="I286" s="4">
        <v>179200</v>
      </c>
      <c r="J286" s="4">
        <v>33929</v>
      </c>
      <c r="K286" s="4">
        <v>6080076800</v>
      </c>
    </row>
    <row r="287" spans="1:11" x14ac:dyDescent="0.3">
      <c r="A287" s="1">
        <v>45566</v>
      </c>
      <c r="B287">
        <v>2024</v>
      </c>
      <c r="C287">
        <v>10</v>
      </c>
      <c r="D287" t="s">
        <v>11</v>
      </c>
      <c r="E287" t="s">
        <v>20</v>
      </c>
      <c r="F287">
        <v>220</v>
      </c>
      <c r="G287">
        <v>140000</v>
      </c>
      <c r="H287">
        <v>0.28000000000000003</v>
      </c>
      <c r="I287">
        <v>179200</v>
      </c>
      <c r="J287">
        <v>35481</v>
      </c>
      <c r="K287">
        <v>6358195200</v>
      </c>
    </row>
    <row r="288" spans="1:11" x14ac:dyDescent="0.3">
      <c r="A288" s="8">
        <v>45597</v>
      </c>
      <c r="B288" s="4">
        <v>2024</v>
      </c>
      <c r="C288" s="4">
        <v>11</v>
      </c>
      <c r="D288" s="4" t="s">
        <v>11</v>
      </c>
      <c r="E288" s="4" t="s">
        <v>20</v>
      </c>
      <c r="F288" s="4">
        <v>220</v>
      </c>
      <c r="G288" s="4">
        <v>140000</v>
      </c>
      <c r="H288" s="4">
        <v>0.28000000000000003</v>
      </c>
      <c r="I288" s="4">
        <v>179200</v>
      </c>
      <c r="J288" s="4">
        <v>35304</v>
      </c>
      <c r="K288" s="4">
        <v>6326476800</v>
      </c>
    </row>
    <row r="289" spans="1:11" x14ac:dyDescent="0.3">
      <c r="A289" s="1">
        <v>45627</v>
      </c>
      <c r="B289">
        <v>2024</v>
      </c>
      <c r="C289">
        <v>12</v>
      </c>
      <c r="D289" t="s">
        <v>11</v>
      </c>
      <c r="E289" t="s">
        <v>20</v>
      </c>
      <c r="F289">
        <v>220</v>
      </c>
      <c r="G289">
        <v>140000</v>
      </c>
      <c r="H289">
        <v>0.28000000000000003</v>
      </c>
      <c r="I289">
        <v>179200</v>
      </c>
      <c r="J289">
        <v>44624</v>
      </c>
      <c r="K289">
        <v>7996620800</v>
      </c>
    </row>
    <row r="290" spans="1:11" x14ac:dyDescent="0.3">
      <c r="A290" s="8">
        <v>45658</v>
      </c>
      <c r="B290" s="4">
        <v>2025</v>
      </c>
      <c r="C290" s="4">
        <v>1</v>
      </c>
      <c r="D290" s="4" t="s">
        <v>11</v>
      </c>
      <c r="E290" s="4" t="s">
        <v>20</v>
      </c>
      <c r="F290" s="4">
        <v>220</v>
      </c>
      <c r="G290" s="4">
        <v>140000</v>
      </c>
      <c r="H290" s="4">
        <v>0.28000000000000003</v>
      </c>
      <c r="I290" s="4">
        <v>179200</v>
      </c>
      <c r="J290" s="4">
        <v>47595</v>
      </c>
      <c r="K290" s="4">
        <v>8529024000</v>
      </c>
    </row>
    <row r="291" spans="1:11" x14ac:dyDescent="0.3">
      <c r="A291" s="1">
        <v>45689</v>
      </c>
      <c r="B291">
        <v>2025</v>
      </c>
      <c r="C291">
        <v>2</v>
      </c>
      <c r="D291" t="s">
        <v>11</v>
      </c>
      <c r="E291" t="s">
        <v>20</v>
      </c>
      <c r="F291">
        <v>220</v>
      </c>
      <c r="G291">
        <v>140000</v>
      </c>
      <c r="H291">
        <v>0.28000000000000003</v>
      </c>
      <c r="I291">
        <v>179200</v>
      </c>
      <c r="J291">
        <v>47647</v>
      </c>
      <c r="K291">
        <v>8538342400</v>
      </c>
    </row>
    <row r="292" spans="1:11" x14ac:dyDescent="0.3">
      <c r="A292" s="8">
        <v>45717</v>
      </c>
      <c r="B292" s="4">
        <v>2025</v>
      </c>
      <c r="C292" s="4">
        <v>3</v>
      </c>
      <c r="D292" s="4" t="s">
        <v>11</v>
      </c>
      <c r="E292" s="4" t="s">
        <v>20</v>
      </c>
      <c r="F292" s="4">
        <v>220</v>
      </c>
      <c r="G292" s="4">
        <v>140000</v>
      </c>
      <c r="H292" s="4">
        <v>0.28000000000000003</v>
      </c>
      <c r="I292" s="4">
        <v>179200</v>
      </c>
      <c r="J292" s="4">
        <v>45902</v>
      </c>
      <c r="K292" s="4">
        <v>8225638400</v>
      </c>
    </row>
    <row r="293" spans="1:11" x14ac:dyDescent="0.3">
      <c r="A293" s="1">
        <v>45748</v>
      </c>
      <c r="B293">
        <v>2025</v>
      </c>
      <c r="C293">
        <v>4</v>
      </c>
      <c r="D293" t="s">
        <v>11</v>
      </c>
      <c r="E293" t="s">
        <v>20</v>
      </c>
      <c r="F293">
        <v>220</v>
      </c>
      <c r="G293">
        <v>140000</v>
      </c>
      <c r="H293">
        <v>0.28000000000000003</v>
      </c>
      <c r="I293">
        <v>179200</v>
      </c>
      <c r="J293">
        <v>41475</v>
      </c>
      <c r="K293">
        <v>7432320000</v>
      </c>
    </row>
    <row r="294" spans="1:11" x14ac:dyDescent="0.3">
      <c r="A294" s="8">
        <v>45778</v>
      </c>
      <c r="B294" s="4">
        <v>2025</v>
      </c>
      <c r="C294" s="4">
        <v>5</v>
      </c>
      <c r="D294" s="4" t="s">
        <v>11</v>
      </c>
      <c r="E294" s="4" t="s">
        <v>20</v>
      </c>
      <c r="F294" s="4">
        <v>220</v>
      </c>
      <c r="G294" s="4">
        <v>140000</v>
      </c>
      <c r="H294" s="4">
        <v>0.28000000000000003</v>
      </c>
      <c r="I294" s="4">
        <v>179200</v>
      </c>
      <c r="J294" s="4">
        <v>40494</v>
      </c>
      <c r="K294" s="4">
        <v>7256524800</v>
      </c>
    </row>
    <row r="295" spans="1:11" x14ac:dyDescent="0.3">
      <c r="A295" s="1">
        <v>45809</v>
      </c>
      <c r="B295">
        <v>2025</v>
      </c>
      <c r="C295">
        <v>6</v>
      </c>
      <c r="D295" t="s">
        <v>11</v>
      </c>
      <c r="E295" t="s">
        <v>20</v>
      </c>
      <c r="F295">
        <v>220</v>
      </c>
      <c r="G295">
        <v>140000</v>
      </c>
      <c r="H295">
        <v>0.28000000000000003</v>
      </c>
      <c r="I295">
        <v>179200</v>
      </c>
      <c r="J295">
        <v>35783</v>
      </c>
      <c r="K295">
        <v>6412313600</v>
      </c>
    </row>
    <row r="296" spans="1:11" x14ac:dyDescent="0.3">
      <c r="A296" s="8">
        <v>45839</v>
      </c>
      <c r="B296" s="4">
        <v>2025</v>
      </c>
      <c r="C296" s="4">
        <v>7</v>
      </c>
      <c r="D296" s="4" t="s">
        <v>11</v>
      </c>
      <c r="E296" s="4" t="s">
        <v>20</v>
      </c>
      <c r="F296" s="4">
        <v>220</v>
      </c>
      <c r="G296" s="4">
        <v>140000</v>
      </c>
      <c r="H296" s="4">
        <v>0.28000000000000003</v>
      </c>
      <c r="I296" s="4">
        <v>179200</v>
      </c>
      <c r="J296" s="4">
        <v>34478</v>
      </c>
      <c r="K296" s="4">
        <v>6178457600</v>
      </c>
    </row>
    <row r="297" spans="1:11" x14ac:dyDescent="0.3">
      <c r="A297" s="1">
        <v>45870</v>
      </c>
      <c r="B297">
        <v>2025</v>
      </c>
      <c r="C297">
        <v>8</v>
      </c>
      <c r="D297" t="s">
        <v>11</v>
      </c>
      <c r="E297" t="s">
        <v>20</v>
      </c>
      <c r="F297">
        <v>220</v>
      </c>
      <c r="G297">
        <v>140000</v>
      </c>
      <c r="H297">
        <v>0.28000000000000003</v>
      </c>
      <c r="I297">
        <v>179200</v>
      </c>
      <c r="J297">
        <v>35500</v>
      </c>
      <c r="K297">
        <v>6361600000</v>
      </c>
    </row>
    <row r="298" spans="1:11" x14ac:dyDescent="0.3">
      <c r="A298" s="8">
        <v>45901</v>
      </c>
      <c r="B298" s="4">
        <v>2025</v>
      </c>
      <c r="C298" s="4">
        <v>9</v>
      </c>
      <c r="D298" s="4" t="s">
        <v>11</v>
      </c>
      <c r="E298" s="4" t="s">
        <v>20</v>
      </c>
      <c r="F298" s="4">
        <v>220</v>
      </c>
      <c r="G298" s="4">
        <v>140000</v>
      </c>
      <c r="H298" s="4">
        <v>0.28000000000000003</v>
      </c>
      <c r="I298" s="4">
        <v>179200</v>
      </c>
      <c r="J298" s="4">
        <v>33603</v>
      </c>
      <c r="K298" s="4">
        <v>6021657600</v>
      </c>
    </row>
    <row r="299" spans="1:11" x14ac:dyDescent="0.3">
      <c r="A299" s="1">
        <v>44927</v>
      </c>
      <c r="B299">
        <v>2023</v>
      </c>
      <c r="C299">
        <v>1</v>
      </c>
      <c r="D299" t="s">
        <v>11</v>
      </c>
      <c r="E299" t="s">
        <v>21</v>
      </c>
      <c r="F299">
        <v>160</v>
      </c>
      <c r="G299">
        <v>115000</v>
      </c>
      <c r="H299">
        <v>0.28000000000000003</v>
      </c>
      <c r="I299">
        <v>147200</v>
      </c>
      <c r="J299">
        <v>22750</v>
      </c>
      <c r="K299">
        <v>3348800000</v>
      </c>
    </row>
    <row r="300" spans="1:11" x14ac:dyDescent="0.3">
      <c r="A300" s="8">
        <v>44958</v>
      </c>
      <c r="B300" s="4">
        <v>2023</v>
      </c>
      <c r="C300" s="4">
        <v>2</v>
      </c>
      <c r="D300" s="4" t="s">
        <v>11</v>
      </c>
      <c r="E300" s="4" t="s">
        <v>21</v>
      </c>
      <c r="F300" s="4">
        <v>160</v>
      </c>
      <c r="G300" s="4">
        <v>115000</v>
      </c>
      <c r="H300" s="4">
        <v>0.28000000000000003</v>
      </c>
      <c r="I300" s="4">
        <v>147200</v>
      </c>
      <c r="J300" s="4">
        <v>21638</v>
      </c>
      <c r="K300" s="4">
        <v>3185113600</v>
      </c>
    </row>
    <row r="301" spans="1:11" x14ac:dyDescent="0.3">
      <c r="A301" s="1">
        <v>44986</v>
      </c>
      <c r="B301">
        <v>2023</v>
      </c>
      <c r="C301">
        <v>3</v>
      </c>
      <c r="D301" t="s">
        <v>11</v>
      </c>
      <c r="E301" t="s">
        <v>21</v>
      </c>
      <c r="F301">
        <v>160</v>
      </c>
      <c r="G301">
        <v>115000</v>
      </c>
      <c r="H301">
        <v>0.28000000000000003</v>
      </c>
      <c r="I301">
        <v>147200</v>
      </c>
      <c r="J301">
        <v>25720</v>
      </c>
      <c r="K301">
        <v>3785984000</v>
      </c>
    </row>
    <row r="302" spans="1:11" x14ac:dyDescent="0.3">
      <c r="A302" s="8">
        <v>45017</v>
      </c>
      <c r="B302" s="4">
        <v>2023</v>
      </c>
      <c r="C302" s="4">
        <v>4</v>
      </c>
      <c r="D302" s="4" t="s">
        <v>11</v>
      </c>
      <c r="E302" s="4" t="s">
        <v>21</v>
      </c>
      <c r="F302" s="4">
        <v>160</v>
      </c>
      <c r="G302" s="4">
        <v>115000</v>
      </c>
      <c r="H302" s="4">
        <v>0.28000000000000003</v>
      </c>
      <c r="I302" s="4">
        <v>147200</v>
      </c>
      <c r="J302" s="4">
        <v>20041</v>
      </c>
      <c r="K302" s="4">
        <v>2950035200</v>
      </c>
    </row>
    <row r="303" spans="1:11" x14ac:dyDescent="0.3">
      <c r="A303" s="1">
        <v>45047</v>
      </c>
      <c r="B303">
        <v>2023</v>
      </c>
      <c r="C303">
        <v>5</v>
      </c>
      <c r="D303" t="s">
        <v>11</v>
      </c>
      <c r="E303" t="s">
        <v>21</v>
      </c>
      <c r="F303">
        <v>160</v>
      </c>
      <c r="G303">
        <v>115000</v>
      </c>
      <c r="H303">
        <v>0.28000000000000003</v>
      </c>
      <c r="I303">
        <v>147200</v>
      </c>
      <c r="J303">
        <v>21840</v>
      </c>
      <c r="K303">
        <v>3214848000</v>
      </c>
    </row>
    <row r="304" spans="1:11" x14ac:dyDescent="0.3">
      <c r="A304" s="8">
        <v>45078</v>
      </c>
      <c r="B304" s="4">
        <v>2023</v>
      </c>
      <c r="C304" s="4">
        <v>6</v>
      </c>
      <c r="D304" s="4" t="s">
        <v>11</v>
      </c>
      <c r="E304" s="4" t="s">
        <v>21</v>
      </c>
      <c r="F304" s="4">
        <v>160</v>
      </c>
      <c r="G304" s="4">
        <v>115000</v>
      </c>
      <c r="H304" s="4">
        <v>0.28000000000000003</v>
      </c>
      <c r="I304" s="4">
        <v>147200</v>
      </c>
      <c r="J304" s="4">
        <v>16977</v>
      </c>
      <c r="K304" s="4">
        <v>2499014400</v>
      </c>
    </row>
    <row r="305" spans="1:11" x14ac:dyDescent="0.3">
      <c r="A305" s="1">
        <v>45108</v>
      </c>
      <c r="B305">
        <v>2023</v>
      </c>
      <c r="C305">
        <v>7</v>
      </c>
      <c r="D305" t="s">
        <v>11</v>
      </c>
      <c r="E305" t="s">
        <v>21</v>
      </c>
      <c r="F305">
        <v>160</v>
      </c>
      <c r="G305">
        <v>115000</v>
      </c>
      <c r="H305">
        <v>0.28000000000000003</v>
      </c>
      <c r="I305">
        <v>147200</v>
      </c>
      <c r="J305">
        <v>17891</v>
      </c>
      <c r="K305">
        <v>2633555200</v>
      </c>
    </row>
    <row r="306" spans="1:11" x14ac:dyDescent="0.3">
      <c r="A306" s="8">
        <v>45139</v>
      </c>
      <c r="B306" s="4">
        <v>2023</v>
      </c>
      <c r="C306" s="4">
        <v>8</v>
      </c>
      <c r="D306" s="4" t="s">
        <v>11</v>
      </c>
      <c r="E306" s="4" t="s">
        <v>21</v>
      </c>
      <c r="F306" s="4">
        <v>160</v>
      </c>
      <c r="G306" s="4">
        <v>115000</v>
      </c>
      <c r="H306" s="4">
        <v>0.28000000000000003</v>
      </c>
      <c r="I306" s="4">
        <v>147200</v>
      </c>
      <c r="J306" s="4">
        <v>17171</v>
      </c>
      <c r="K306" s="4">
        <v>2527571200</v>
      </c>
    </row>
    <row r="307" spans="1:11" x14ac:dyDescent="0.3">
      <c r="A307" s="1">
        <v>45170</v>
      </c>
      <c r="B307">
        <v>2023</v>
      </c>
      <c r="C307">
        <v>9</v>
      </c>
      <c r="D307" t="s">
        <v>11</v>
      </c>
      <c r="E307" t="s">
        <v>21</v>
      </c>
      <c r="F307">
        <v>160</v>
      </c>
      <c r="G307">
        <v>115000</v>
      </c>
      <c r="H307">
        <v>0.28000000000000003</v>
      </c>
      <c r="I307">
        <v>147200</v>
      </c>
      <c r="J307">
        <v>16766</v>
      </c>
      <c r="K307">
        <v>2467955200</v>
      </c>
    </row>
    <row r="308" spans="1:11" x14ac:dyDescent="0.3">
      <c r="A308" s="8">
        <v>45200</v>
      </c>
      <c r="B308" s="4">
        <v>2023</v>
      </c>
      <c r="C308" s="4">
        <v>10</v>
      </c>
      <c r="D308" s="4" t="s">
        <v>11</v>
      </c>
      <c r="E308" s="4" t="s">
        <v>21</v>
      </c>
      <c r="F308" s="4">
        <v>160</v>
      </c>
      <c r="G308" s="4">
        <v>115000</v>
      </c>
      <c r="H308" s="4">
        <v>0.28000000000000003</v>
      </c>
      <c r="I308" s="4">
        <v>147200</v>
      </c>
      <c r="J308" s="4">
        <v>15069</v>
      </c>
      <c r="K308" s="4">
        <v>2218156800</v>
      </c>
    </row>
    <row r="309" spans="1:11" x14ac:dyDescent="0.3">
      <c r="A309" s="1">
        <v>45231</v>
      </c>
      <c r="B309">
        <v>2023</v>
      </c>
      <c r="C309">
        <v>11</v>
      </c>
      <c r="D309" t="s">
        <v>11</v>
      </c>
      <c r="E309" t="s">
        <v>21</v>
      </c>
      <c r="F309">
        <v>160</v>
      </c>
      <c r="G309">
        <v>115000</v>
      </c>
      <c r="H309">
        <v>0.28000000000000003</v>
      </c>
      <c r="I309">
        <v>147200</v>
      </c>
      <c r="J309">
        <v>18836</v>
      </c>
      <c r="K309">
        <v>2772659200</v>
      </c>
    </row>
    <row r="310" spans="1:11" x14ac:dyDescent="0.3">
      <c r="A310" s="8">
        <v>45261</v>
      </c>
      <c r="B310" s="4">
        <v>2023</v>
      </c>
      <c r="C310" s="4">
        <v>12</v>
      </c>
      <c r="D310" s="4" t="s">
        <v>11</v>
      </c>
      <c r="E310" s="4" t="s">
        <v>21</v>
      </c>
      <c r="F310" s="4">
        <v>160</v>
      </c>
      <c r="G310" s="4">
        <v>115000</v>
      </c>
      <c r="H310" s="4">
        <v>0.28000000000000003</v>
      </c>
      <c r="I310" s="4">
        <v>147200</v>
      </c>
      <c r="J310" s="4">
        <v>19608</v>
      </c>
      <c r="K310" s="4">
        <v>2886297600</v>
      </c>
    </row>
    <row r="311" spans="1:11" x14ac:dyDescent="0.3">
      <c r="A311" s="1">
        <v>45292</v>
      </c>
      <c r="B311">
        <v>2024</v>
      </c>
      <c r="C311">
        <v>1</v>
      </c>
      <c r="D311" t="s">
        <v>11</v>
      </c>
      <c r="E311" t="s">
        <v>21</v>
      </c>
      <c r="F311">
        <v>160</v>
      </c>
      <c r="G311">
        <v>115000</v>
      </c>
      <c r="H311">
        <v>0.28000000000000003</v>
      </c>
      <c r="I311">
        <v>147200</v>
      </c>
      <c r="J311">
        <v>22022</v>
      </c>
      <c r="K311">
        <v>3241638400</v>
      </c>
    </row>
    <row r="312" spans="1:11" x14ac:dyDescent="0.3">
      <c r="A312" s="8">
        <v>45323</v>
      </c>
      <c r="B312" s="4">
        <v>2024</v>
      </c>
      <c r="C312" s="4">
        <v>2</v>
      </c>
      <c r="D312" s="4" t="s">
        <v>11</v>
      </c>
      <c r="E312" s="4" t="s">
        <v>21</v>
      </c>
      <c r="F312" s="4">
        <v>160</v>
      </c>
      <c r="G312" s="4">
        <v>115000</v>
      </c>
      <c r="H312" s="4">
        <v>0.28000000000000003</v>
      </c>
      <c r="I312" s="4">
        <v>147200</v>
      </c>
      <c r="J312" s="4">
        <v>26194</v>
      </c>
      <c r="K312" s="4">
        <v>3855756800</v>
      </c>
    </row>
    <row r="313" spans="1:11" x14ac:dyDescent="0.3">
      <c r="A313" s="1">
        <v>45352</v>
      </c>
      <c r="B313">
        <v>2024</v>
      </c>
      <c r="C313">
        <v>3</v>
      </c>
      <c r="D313" t="s">
        <v>11</v>
      </c>
      <c r="E313" t="s">
        <v>21</v>
      </c>
      <c r="F313">
        <v>160</v>
      </c>
      <c r="G313">
        <v>115000</v>
      </c>
      <c r="H313">
        <v>0.28000000000000003</v>
      </c>
      <c r="I313">
        <v>147200</v>
      </c>
      <c r="J313">
        <v>24014</v>
      </c>
      <c r="K313">
        <v>3534860800</v>
      </c>
    </row>
    <row r="314" spans="1:11" x14ac:dyDescent="0.3">
      <c r="A314" s="8">
        <v>45383</v>
      </c>
      <c r="B314" s="4">
        <v>2024</v>
      </c>
      <c r="C314" s="4">
        <v>4</v>
      </c>
      <c r="D314" s="4" t="s">
        <v>11</v>
      </c>
      <c r="E314" s="4" t="s">
        <v>21</v>
      </c>
      <c r="F314" s="4">
        <v>160</v>
      </c>
      <c r="G314" s="4">
        <v>115000</v>
      </c>
      <c r="H314" s="4">
        <v>0.28000000000000003</v>
      </c>
      <c r="I314" s="4">
        <v>147200</v>
      </c>
      <c r="J314" s="4">
        <v>23829</v>
      </c>
      <c r="K314" s="4">
        <v>3507628800</v>
      </c>
    </row>
    <row r="315" spans="1:11" x14ac:dyDescent="0.3">
      <c r="A315" s="1">
        <v>45413</v>
      </c>
      <c r="B315">
        <v>2024</v>
      </c>
      <c r="C315">
        <v>5</v>
      </c>
      <c r="D315" t="s">
        <v>11</v>
      </c>
      <c r="E315" t="s">
        <v>21</v>
      </c>
      <c r="F315">
        <v>160</v>
      </c>
      <c r="G315">
        <v>115000</v>
      </c>
      <c r="H315">
        <v>0.28000000000000003</v>
      </c>
      <c r="I315">
        <v>147200</v>
      </c>
      <c r="J315">
        <v>19945</v>
      </c>
      <c r="K315">
        <v>2935904000</v>
      </c>
    </row>
    <row r="316" spans="1:11" x14ac:dyDescent="0.3">
      <c r="A316" s="8">
        <v>45444</v>
      </c>
      <c r="B316" s="4">
        <v>2024</v>
      </c>
      <c r="C316" s="4">
        <v>6</v>
      </c>
      <c r="D316" s="4" t="s">
        <v>11</v>
      </c>
      <c r="E316" s="4" t="s">
        <v>21</v>
      </c>
      <c r="F316" s="4">
        <v>160</v>
      </c>
      <c r="G316" s="4">
        <v>115000</v>
      </c>
      <c r="H316" s="4">
        <v>0.28000000000000003</v>
      </c>
      <c r="I316" s="4">
        <v>147200</v>
      </c>
      <c r="J316" s="4">
        <v>16059</v>
      </c>
      <c r="K316" s="4">
        <v>2363884800</v>
      </c>
    </row>
    <row r="317" spans="1:11" x14ac:dyDescent="0.3">
      <c r="A317" s="1">
        <v>45474</v>
      </c>
      <c r="B317">
        <v>2024</v>
      </c>
      <c r="C317">
        <v>7</v>
      </c>
      <c r="D317" t="s">
        <v>11</v>
      </c>
      <c r="E317" t="s">
        <v>21</v>
      </c>
      <c r="F317">
        <v>160</v>
      </c>
      <c r="G317">
        <v>115000</v>
      </c>
      <c r="H317">
        <v>0.28000000000000003</v>
      </c>
      <c r="I317">
        <v>147200</v>
      </c>
      <c r="J317">
        <v>16938</v>
      </c>
      <c r="K317">
        <v>2493273600</v>
      </c>
    </row>
    <row r="318" spans="1:11" x14ac:dyDescent="0.3">
      <c r="A318" s="8">
        <v>45505</v>
      </c>
      <c r="B318" s="4">
        <v>2024</v>
      </c>
      <c r="C318" s="4">
        <v>8</v>
      </c>
      <c r="D318" s="4" t="s">
        <v>11</v>
      </c>
      <c r="E318" s="4" t="s">
        <v>21</v>
      </c>
      <c r="F318" s="4">
        <v>160</v>
      </c>
      <c r="G318" s="4">
        <v>115000</v>
      </c>
      <c r="H318" s="4">
        <v>0.28000000000000003</v>
      </c>
      <c r="I318" s="4">
        <v>147200</v>
      </c>
      <c r="J318" s="4">
        <v>17886</v>
      </c>
      <c r="K318" s="4">
        <v>2632819200</v>
      </c>
    </row>
    <row r="319" spans="1:11" x14ac:dyDescent="0.3">
      <c r="A319" s="1">
        <v>45536</v>
      </c>
      <c r="B319">
        <v>2024</v>
      </c>
      <c r="C319">
        <v>9</v>
      </c>
      <c r="D319" t="s">
        <v>11</v>
      </c>
      <c r="E319" t="s">
        <v>21</v>
      </c>
      <c r="F319">
        <v>160</v>
      </c>
      <c r="G319">
        <v>115000</v>
      </c>
      <c r="H319">
        <v>0.28000000000000003</v>
      </c>
      <c r="I319">
        <v>147200</v>
      </c>
      <c r="J319">
        <v>17764</v>
      </c>
      <c r="K319">
        <v>2614860800</v>
      </c>
    </row>
    <row r="320" spans="1:11" x14ac:dyDescent="0.3">
      <c r="A320" s="8">
        <v>45566</v>
      </c>
      <c r="B320" s="4">
        <v>2024</v>
      </c>
      <c r="C320" s="4">
        <v>10</v>
      </c>
      <c r="D320" s="4" t="s">
        <v>11</v>
      </c>
      <c r="E320" s="4" t="s">
        <v>21</v>
      </c>
      <c r="F320" s="4">
        <v>160</v>
      </c>
      <c r="G320" s="4">
        <v>115000</v>
      </c>
      <c r="H320" s="4">
        <v>0.28000000000000003</v>
      </c>
      <c r="I320" s="4">
        <v>147200</v>
      </c>
      <c r="J320" s="4">
        <v>19395</v>
      </c>
      <c r="K320" s="4">
        <v>2854944000</v>
      </c>
    </row>
    <row r="321" spans="1:11" x14ac:dyDescent="0.3">
      <c r="A321" s="1">
        <v>45597</v>
      </c>
      <c r="B321">
        <v>2024</v>
      </c>
      <c r="C321">
        <v>11</v>
      </c>
      <c r="D321" t="s">
        <v>11</v>
      </c>
      <c r="E321" t="s">
        <v>21</v>
      </c>
      <c r="F321">
        <v>160</v>
      </c>
      <c r="G321">
        <v>115000</v>
      </c>
      <c r="H321">
        <v>0.28000000000000003</v>
      </c>
      <c r="I321">
        <v>147200</v>
      </c>
      <c r="J321">
        <v>16354</v>
      </c>
      <c r="K321">
        <v>2407308800</v>
      </c>
    </row>
    <row r="322" spans="1:11" x14ac:dyDescent="0.3">
      <c r="A322" s="8">
        <v>45627</v>
      </c>
      <c r="B322" s="4">
        <v>2024</v>
      </c>
      <c r="C322" s="4">
        <v>12</v>
      </c>
      <c r="D322" s="4" t="s">
        <v>11</v>
      </c>
      <c r="E322" s="4" t="s">
        <v>21</v>
      </c>
      <c r="F322" s="4">
        <v>160</v>
      </c>
      <c r="G322" s="4">
        <v>115000</v>
      </c>
      <c r="H322" s="4">
        <v>0.28000000000000003</v>
      </c>
      <c r="I322" s="4">
        <v>147200</v>
      </c>
      <c r="J322" s="4">
        <v>20852</v>
      </c>
      <c r="K322" s="4">
        <v>3069414400</v>
      </c>
    </row>
    <row r="323" spans="1:11" x14ac:dyDescent="0.3">
      <c r="A323" s="1">
        <v>45658</v>
      </c>
      <c r="B323">
        <v>2025</v>
      </c>
      <c r="C323">
        <v>1</v>
      </c>
      <c r="D323" t="s">
        <v>11</v>
      </c>
      <c r="E323" t="s">
        <v>21</v>
      </c>
      <c r="F323">
        <v>160</v>
      </c>
      <c r="G323">
        <v>115000</v>
      </c>
      <c r="H323">
        <v>0.28000000000000003</v>
      </c>
      <c r="I323">
        <v>147200</v>
      </c>
      <c r="J323">
        <v>24512</v>
      </c>
      <c r="K323">
        <v>3608166400</v>
      </c>
    </row>
    <row r="324" spans="1:11" x14ac:dyDescent="0.3">
      <c r="A324" s="8">
        <v>45689</v>
      </c>
      <c r="B324" s="4">
        <v>2025</v>
      </c>
      <c r="C324" s="4">
        <v>2</v>
      </c>
      <c r="D324" s="4" t="s">
        <v>11</v>
      </c>
      <c r="E324" s="4" t="s">
        <v>21</v>
      </c>
      <c r="F324" s="4">
        <v>160</v>
      </c>
      <c r="G324" s="4">
        <v>115000</v>
      </c>
      <c r="H324" s="4">
        <v>0.28000000000000003</v>
      </c>
      <c r="I324" s="4">
        <v>147200</v>
      </c>
      <c r="J324" s="4">
        <v>18750</v>
      </c>
      <c r="K324" s="4">
        <v>2760000000</v>
      </c>
    </row>
    <row r="325" spans="1:11" x14ac:dyDescent="0.3">
      <c r="A325" s="1">
        <v>45717</v>
      </c>
      <c r="B325">
        <v>2025</v>
      </c>
      <c r="C325">
        <v>3</v>
      </c>
      <c r="D325" t="s">
        <v>11</v>
      </c>
      <c r="E325" t="s">
        <v>21</v>
      </c>
      <c r="F325">
        <v>160</v>
      </c>
      <c r="G325">
        <v>115000</v>
      </c>
      <c r="H325">
        <v>0.28000000000000003</v>
      </c>
      <c r="I325">
        <v>147200</v>
      </c>
      <c r="J325">
        <v>17767</v>
      </c>
      <c r="K325">
        <v>2615302400</v>
      </c>
    </row>
    <row r="326" spans="1:11" x14ac:dyDescent="0.3">
      <c r="A326" s="8">
        <v>45748</v>
      </c>
      <c r="B326" s="4">
        <v>2025</v>
      </c>
      <c r="C326" s="4">
        <v>4</v>
      </c>
      <c r="D326" s="4" t="s">
        <v>11</v>
      </c>
      <c r="E326" s="4" t="s">
        <v>21</v>
      </c>
      <c r="F326" s="4">
        <v>160</v>
      </c>
      <c r="G326" s="4">
        <v>115000</v>
      </c>
      <c r="H326" s="4">
        <v>0.28000000000000003</v>
      </c>
      <c r="I326" s="4">
        <v>147200</v>
      </c>
      <c r="J326" s="4">
        <v>24832</v>
      </c>
      <c r="K326" s="4">
        <v>3655270400</v>
      </c>
    </row>
    <row r="327" spans="1:11" x14ac:dyDescent="0.3">
      <c r="A327" s="1">
        <v>45778</v>
      </c>
      <c r="B327">
        <v>2025</v>
      </c>
      <c r="C327">
        <v>5</v>
      </c>
      <c r="D327" t="s">
        <v>11</v>
      </c>
      <c r="E327" t="s">
        <v>21</v>
      </c>
      <c r="F327">
        <v>160</v>
      </c>
      <c r="G327">
        <v>115000</v>
      </c>
      <c r="H327">
        <v>0.28000000000000003</v>
      </c>
      <c r="I327">
        <v>147200</v>
      </c>
      <c r="J327">
        <v>22396</v>
      </c>
      <c r="K327">
        <v>3296691200</v>
      </c>
    </row>
    <row r="328" spans="1:11" x14ac:dyDescent="0.3">
      <c r="A328" s="8">
        <v>45809</v>
      </c>
      <c r="B328" s="4">
        <v>2025</v>
      </c>
      <c r="C328" s="4">
        <v>6</v>
      </c>
      <c r="D328" s="4" t="s">
        <v>11</v>
      </c>
      <c r="E328" s="4" t="s">
        <v>21</v>
      </c>
      <c r="F328" s="4">
        <v>160</v>
      </c>
      <c r="G328" s="4">
        <v>115000</v>
      </c>
      <c r="H328" s="4">
        <v>0.28000000000000003</v>
      </c>
      <c r="I328" s="4">
        <v>147200</v>
      </c>
      <c r="J328" s="4">
        <v>20352</v>
      </c>
      <c r="K328" s="4">
        <v>2995814400</v>
      </c>
    </row>
    <row r="329" spans="1:11" x14ac:dyDescent="0.3">
      <c r="A329" s="1">
        <v>45839</v>
      </c>
      <c r="B329">
        <v>2025</v>
      </c>
      <c r="C329">
        <v>7</v>
      </c>
      <c r="D329" t="s">
        <v>11</v>
      </c>
      <c r="E329" t="s">
        <v>21</v>
      </c>
      <c r="F329">
        <v>160</v>
      </c>
      <c r="G329">
        <v>115000</v>
      </c>
      <c r="H329">
        <v>0.28000000000000003</v>
      </c>
      <c r="I329">
        <v>147200</v>
      </c>
      <c r="J329">
        <v>17758</v>
      </c>
      <c r="K329">
        <v>2613977600</v>
      </c>
    </row>
    <row r="330" spans="1:11" x14ac:dyDescent="0.3">
      <c r="A330" s="8">
        <v>45870</v>
      </c>
      <c r="B330" s="4">
        <v>2025</v>
      </c>
      <c r="C330" s="4">
        <v>8</v>
      </c>
      <c r="D330" s="4" t="s">
        <v>11</v>
      </c>
      <c r="E330" s="4" t="s">
        <v>21</v>
      </c>
      <c r="F330" s="4">
        <v>160</v>
      </c>
      <c r="G330" s="4">
        <v>115000</v>
      </c>
      <c r="H330" s="4">
        <v>0.28000000000000003</v>
      </c>
      <c r="I330" s="4">
        <v>147200</v>
      </c>
      <c r="J330" s="4">
        <v>16635</v>
      </c>
      <c r="K330" s="4">
        <v>2448672000</v>
      </c>
    </row>
    <row r="331" spans="1:11" x14ac:dyDescent="0.3">
      <c r="A331" s="1">
        <v>45901</v>
      </c>
      <c r="B331">
        <v>2025</v>
      </c>
      <c r="C331">
        <v>9</v>
      </c>
      <c r="D331" t="s">
        <v>11</v>
      </c>
      <c r="E331" t="s">
        <v>21</v>
      </c>
      <c r="F331">
        <v>160</v>
      </c>
      <c r="G331">
        <v>115000</v>
      </c>
      <c r="H331">
        <v>0.28000000000000003</v>
      </c>
      <c r="I331">
        <v>147200</v>
      </c>
      <c r="J331">
        <v>15421</v>
      </c>
      <c r="K331">
        <v>2269971200</v>
      </c>
    </row>
    <row r="332" spans="1:11" x14ac:dyDescent="0.3">
      <c r="A332" s="8">
        <v>44927</v>
      </c>
      <c r="B332" s="4">
        <v>2023</v>
      </c>
      <c r="C332" s="4">
        <v>1</v>
      </c>
      <c r="D332" s="4" t="s">
        <v>11</v>
      </c>
      <c r="E332" s="4" t="s">
        <v>22</v>
      </c>
      <c r="F332" s="4">
        <v>220</v>
      </c>
      <c r="G332" s="4">
        <v>140000</v>
      </c>
      <c r="H332" s="4">
        <v>0.28000000000000003</v>
      </c>
      <c r="I332" s="4">
        <v>179200</v>
      </c>
      <c r="J332" s="4">
        <v>15877</v>
      </c>
      <c r="K332" s="4">
        <v>2845158400</v>
      </c>
    </row>
    <row r="333" spans="1:11" x14ac:dyDescent="0.3">
      <c r="A333" s="1">
        <v>44958</v>
      </c>
      <c r="B333">
        <v>2023</v>
      </c>
      <c r="C333">
        <v>2</v>
      </c>
      <c r="D333" t="s">
        <v>11</v>
      </c>
      <c r="E333" t="s">
        <v>22</v>
      </c>
      <c r="F333">
        <v>220</v>
      </c>
      <c r="G333">
        <v>140000</v>
      </c>
      <c r="H333">
        <v>0.28000000000000003</v>
      </c>
      <c r="I333">
        <v>179200</v>
      </c>
      <c r="J333">
        <v>14531</v>
      </c>
      <c r="K333">
        <v>2603955200</v>
      </c>
    </row>
    <row r="334" spans="1:11" x14ac:dyDescent="0.3">
      <c r="A334" s="8">
        <v>44986</v>
      </c>
      <c r="B334" s="4">
        <v>2023</v>
      </c>
      <c r="C334" s="4">
        <v>3</v>
      </c>
      <c r="D334" s="4" t="s">
        <v>11</v>
      </c>
      <c r="E334" s="4" t="s">
        <v>22</v>
      </c>
      <c r="F334" s="4">
        <v>220</v>
      </c>
      <c r="G334" s="4">
        <v>140000</v>
      </c>
      <c r="H334" s="4">
        <v>0.28000000000000003</v>
      </c>
      <c r="I334" s="4">
        <v>179200</v>
      </c>
      <c r="J334" s="4">
        <v>16170</v>
      </c>
      <c r="K334" s="4">
        <v>2897664000</v>
      </c>
    </row>
    <row r="335" spans="1:11" x14ac:dyDescent="0.3">
      <c r="A335" s="1">
        <v>45017</v>
      </c>
      <c r="B335">
        <v>2023</v>
      </c>
      <c r="C335">
        <v>4</v>
      </c>
      <c r="D335" t="s">
        <v>11</v>
      </c>
      <c r="E335" t="s">
        <v>22</v>
      </c>
      <c r="F335">
        <v>220</v>
      </c>
      <c r="G335">
        <v>140000</v>
      </c>
      <c r="H335">
        <v>0.28000000000000003</v>
      </c>
      <c r="I335">
        <v>179200</v>
      </c>
      <c r="J335">
        <v>17092</v>
      </c>
      <c r="K335">
        <v>3062886400</v>
      </c>
    </row>
    <row r="336" spans="1:11" x14ac:dyDescent="0.3">
      <c r="A336" s="8">
        <v>45047</v>
      </c>
      <c r="B336" s="4">
        <v>2023</v>
      </c>
      <c r="C336" s="4">
        <v>5</v>
      </c>
      <c r="D336" s="4" t="s">
        <v>11</v>
      </c>
      <c r="E336" s="4" t="s">
        <v>22</v>
      </c>
      <c r="F336" s="4">
        <v>220</v>
      </c>
      <c r="G336" s="4">
        <v>140000</v>
      </c>
      <c r="H336" s="4">
        <v>0.28000000000000003</v>
      </c>
      <c r="I336" s="4">
        <v>179200</v>
      </c>
      <c r="J336" s="4">
        <v>16124</v>
      </c>
      <c r="K336" s="4">
        <v>2889420800</v>
      </c>
    </row>
    <row r="337" spans="1:11" x14ac:dyDescent="0.3">
      <c r="A337" s="1">
        <v>45078</v>
      </c>
      <c r="B337">
        <v>2023</v>
      </c>
      <c r="C337">
        <v>6</v>
      </c>
      <c r="D337" t="s">
        <v>11</v>
      </c>
      <c r="E337" t="s">
        <v>22</v>
      </c>
      <c r="F337">
        <v>220</v>
      </c>
      <c r="G337">
        <v>140000</v>
      </c>
      <c r="H337">
        <v>0.28000000000000003</v>
      </c>
      <c r="I337">
        <v>179200</v>
      </c>
      <c r="J337">
        <v>15140</v>
      </c>
      <c r="K337">
        <v>2713088000</v>
      </c>
    </row>
    <row r="338" spans="1:11" x14ac:dyDescent="0.3">
      <c r="A338" s="8">
        <v>45108</v>
      </c>
      <c r="B338" s="4">
        <v>2023</v>
      </c>
      <c r="C338" s="4">
        <v>7</v>
      </c>
      <c r="D338" s="4" t="s">
        <v>11</v>
      </c>
      <c r="E338" s="4" t="s">
        <v>22</v>
      </c>
      <c r="F338" s="4">
        <v>220</v>
      </c>
      <c r="G338" s="4">
        <v>140000</v>
      </c>
      <c r="H338" s="4">
        <v>0.28000000000000003</v>
      </c>
      <c r="I338" s="4">
        <v>179200</v>
      </c>
      <c r="J338" s="4">
        <v>15930</v>
      </c>
      <c r="K338" s="4">
        <v>2854656000</v>
      </c>
    </row>
    <row r="339" spans="1:11" x14ac:dyDescent="0.3">
      <c r="A339" s="1">
        <v>45139</v>
      </c>
      <c r="B339">
        <v>2023</v>
      </c>
      <c r="C339">
        <v>8</v>
      </c>
      <c r="D339" t="s">
        <v>11</v>
      </c>
      <c r="E339" t="s">
        <v>22</v>
      </c>
      <c r="F339">
        <v>220</v>
      </c>
      <c r="G339">
        <v>140000</v>
      </c>
      <c r="H339">
        <v>0.28000000000000003</v>
      </c>
      <c r="I339">
        <v>179200</v>
      </c>
      <c r="J339">
        <v>12574</v>
      </c>
      <c r="K339">
        <v>2253260800</v>
      </c>
    </row>
    <row r="340" spans="1:11" x14ac:dyDescent="0.3">
      <c r="A340" s="8">
        <v>45170</v>
      </c>
      <c r="B340" s="4">
        <v>2023</v>
      </c>
      <c r="C340" s="4">
        <v>9</v>
      </c>
      <c r="D340" s="4" t="s">
        <v>11</v>
      </c>
      <c r="E340" s="4" t="s">
        <v>22</v>
      </c>
      <c r="F340" s="4">
        <v>220</v>
      </c>
      <c r="G340" s="4">
        <v>140000</v>
      </c>
      <c r="H340" s="4">
        <v>0.28000000000000003</v>
      </c>
      <c r="I340" s="4">
        <v>179200</v>
      </c>
      <c r="J340" s="4">
        <v>13432</v>
      </c>
      <c r="K340" s="4">
        <v>2407014400</v>
      </c>
    </row>
    <row r="341" spans="1:11" x14ac:dyDescent="0.3">
      <c r="A341" s="1">
        <v>45200</v>
      </c>
      <c r="B341">
        <v>2023</v>
      </c>
      <c r="C341">
        <v>10</v>
      </c>
      <c r="D341" t="s">
        <v>11</v>
      </c>
      <c r="E341" t="s">
        <v>22</v>
      </c>
      <c r="F341">
        <v>220</v>
      </c>
      <c r="G341">
        <v>140000</v>
      </c>
      <c r="H341">
        <v>0.28000000000000003</v>
      </c>
      <c r="I341">
        <v>179200</v>
      </c>
      <c r="J341">
        <v>13029</v>
      </c>
      <c r="K341">
        <v>2334796800</v>
      </c>
    </row>
    <row r="342" spans="1:11" x14ac:dyDescent="0.3">
      <c r="A342" s="8">
        <v>45231</v>
      </c>
      <c r="B342" s="4">
        <v>2023</v>
      </c>
      <c r="C342" s="4">
        <v>11</v>
      </c>
      <c r="D342" s="4" t="s">
        <v>11</v>
      </c>
      <c r="E342" s="4" t="s">
        <v>22</v>
      </c>
      <c r="F342" s="4">
        <v>220</v>
      </c>
      <c r="G342" s="4">
        <v>140000</v>
      </c>
      <c r="H342" s="4">
        <v>0.28000000000000003</v>
      </c>
      <c r="I342" s="4">
        <v>179200</v>
      </c>
      <c r="J342" s="4">
        <v>16056</v>
      </c>
      <c r="K342" s="4">
        <v>2877235200</v>
      </c>
    </row>
    <row r="343" spans="1:11" x14ac:dyDescent="0.3">
      <c r="A343" s="1">
        <v>45261</v>
      </c>
      <c r="B343">
        <v>2023</v>
      </c>
      <c r="C343">
        <v>12</v>
      </c>
      <c r="D343" t="s">
        <v>11</v>
      </c>
      <c r="E343" t="s">
        <v>22</v>
      </c>
      <c r="F343">
        <v>220</v>
      </c>
      <c r="G343">
        <v>140000</v>
      </c>
      <c r="H343">
        <v>0.28000000000000003</v>
      </c>
      <c r="I343">
        <v>179200</v>
      </c>
      <c r="J343">
        <v>14987</v>
      </c>
      <c r="K343">
        <v>2685670400</v>
      </c>
    </row>
    <row r="344" spans="1:11" x14ac:dyDescent="0.3">
      <c r="A344" s="8">
        <v>45292</v>
      </c>
      <c r="B344" s="4">
        <v>2024</v>
      </c>
      <c r="C344" s="4">
        <v>1</v>
      </c>
      <c r="D344" s="4" t="s">
        <v>11</v>
      </c>
      <c r="E344" s="4" t="s">
        <v>22</v>
      </c>
      <c r="F344" s="4">
        <v>220</v>
      </c>
      <c r="G344" s="4">
        <v>140000</v>
      </c>
      <c r="H344" s="4">
        <v>0.28000000000000003</v>
      </c>
      <c r="I344" s="4">
        <v>179200</v>
      </c>
      <c r="J344" s="4">
        <v>15134</v>
      </c>
      <c r="K344" s="4">
        <v>2712012800</v>
      </c>
    </row>
    <row r="345" spans="1:11" x14ac:dyDescent="0.3">
      <c r="A345" s="1">
        <v>45323</v>
      </c>
      <c r="B345">
        <v>2024</v>
      </c>
      <c r="C345">
        <v>2</v>
      </c>
      <c r="D345" t="s">
        <v>11</v>
      </c>
      <c r="E345" t="s">
        <v>22</v>
      </c>
      <c r="F345">
        <v>220</v>
      </c>
      <c r="G345">
        <v>140000</v>
      </c>
      <c r="H345">
        <v>0.28000000000000003</v>
      </c>
      <c r="I345">
        <v>179200</v>
      </c>
      <c r="J345">
        <v>15423</v>
      </c>
      <c r="K345">
        <v>2763801600</v>
      </c>
    </row>
    <row r="346" spans="1:11" x14ac:dyDescent="0.3">
      <c r="A346" s="8">
        <v>45352</v>
      </c>
      <c r="B346" s="4">
        <v>2024</v>
      </c>
      <c r="C346" s="4">
        <v>3</v>
      </c>
      <c r="D346" s="4" t="s">
        <v>11</v>
      </c>
      <c r="E346" s="4" t="s">
        <v>22</v>
      </c>
      <c r="F346" s="4">
        <v>220</v>
      </c>
      <c r="G346" s="4">
        <v>140000</v>
      </c>
      <c r="H346" s="4">
        <v>0.28000000000000003</v>
      </c>
      <c r="I346" s="4">
        <v>179200</v>
      </c>
      <c r="J346" s="4">
        <v>13327</v>
      </c>
      <c r="K346" s="4">
        <v>2388198400</v>
      </c>
    </row>
    <row r="347" spans="1:11" x14ac:dyDescent="0.3">
      <c r="A347" s="1">
        <v>45383</v>
      </c>
      <c r="B347">
        <v>2024</v>
      </c>
      <c r="C347">
        <v>4</v>
      </c>
      <c r="D347" t="s">
        <v>11</v>
      </c>
      <c r="E347" t="s">
        <v>22</v>
      </c>
      <c r="F347">
        <v>220</v>
      </c>
      <c r="G347">
        <v>140000</v>
      </c>
      <c r="H347">
        <v>0.28000000000000003</v>
      </c>
      <c r="I347">
        <v>179200</v>
      </c>
      <c r="J347">
        <v>18411</v>
      </c>
      <c r="K347">
        <v>3299251200</v>
      </c>
    </row>
    <row r="348" spans="1:11" x14ac:dyDescent="0.3">
      <c r="A348" s="8">
        <v>45413</v>
      </c>
      <c r="B348" s="4">
        <v>2024</v>
      </c>
      <c r="C348" s="4">
        <v>5</v>
      </c>
      <c r="D348" s="4" t="s">
        <v>11</v>
      </c>
      <c r="E348" s="4" t="s">
        <v>22</v>
      </c>
      <c r="F348" s="4">
        <v>220</v>
      </c>
      <c r="G348" s="4">
        <v>140000</v>
      </c>
      <c r="H348" s="4">
        <v>0.28000000000000003</v>
      </c>
      <c r="I348" s="4">
        <v>179200</v>
      </c>
      <c r="J348" s="4">
        <v>15254</v>
      </c>
      <c r="K348" s="4">
        <v>2733516800</v>
      </c>
    </row>
    <row r="349" spans="1:11" x14ac:dyDescent="0.3">
      <c r="A349" s="1">
        <v>45444</v>
      </c>
      <c r="B349">
        <v>2024</v>
      </c>
      <c r="C349">
        <v>6</v>
      </c>
      <c r="D349" t="s">
        <v>11</v>
      </c>
      <c r="E349" t="s">
        <v>22</v>
      </c>
      <c r="F349">
        <v>220</v>
      </c>
      <c r="G349">
        <v>140000</v>
      </c>
      <c r="H349">
        <v>0.28000000000000003</v>
      </c>
      <c r="I349">
        <v>179200</v>
      </c>
      <c r="J349">
        <v>15359</v>
      </c>
      <c r="K349">
        <v>2752332800</v>
      </c>
    </row>
    <row r="350" spans="1:11" x14ac:dyDescent="0.3">
      <c r="A350" s="8">
        <v>45474</v>
      </c>
      <c r="B350" s="4">
        <v>2024</v>
      </c>
      <c r="C350" s="4">
        <v>7</v>
      </c>
      <c r="D350" s="4" t="s">
        <v>11</v>
      </c>
      <c r="E350" s="4" t="s">
        <v>22</v>
      </c>
      <c r="F350" s="4">
        <v>220</v>
      </c>
      <c r="G350" s="4">
        <v>140000</v>
      </c>
      <c r="H350" s="4">
        <v>0.28000000000000003</v>
      </c>
      <c r="I350" s="4">
        <v>179200</v>
      </c>
      <c r="J350" s="4">
        <v>14713</v>
      </c>
      <c r="K350" s="4">
        <v>2636569600</v>
      </c>
    </row>
    <row r="351" spans="1:11" x14ac:dyDescent="0.3">
      <c r="A351" s="1">
        <v>45505</v>
      </c>
      <c r="B351">
        <v>2024</v>
      </c>
      <c r="C351">
        <v>8</v>
      </c>
      <c r="D351" t="s">
        <v>11</v>
      </c>
      <c r="E351" t="s">
        <v>22</v>
      </c>
      <c r="F351">
        <v>220</v>
      </c>
      <c r="G351">
        <v>140000</v>
      </c>
      <c r="H351">
        <v>0.28000000000000003</v>
      </c>
      <c r="I351">
        <v>179200</v>
      </c>
      <c r="J351">
        <v>12239</v>
      </c>
      <c r="K351">
        <v>2193228800</v>
      </c>
    </row>
    <row r="352" spans="1:11" x14ac:dyDescent="0.3">
      <c r="A352" s="8">
        <v>45536</v>
      </c>
      <c r="B352" s="4">
        <v>2024</v>
      </c>
      <c r="C352" s="4">
        <v>9</v>
      </c>
      <c r="D352" s="4" t="s">
        <v>11</v>
      </c>
      <c r="E352" s="4" t="s">
        <v>22</v>
      </c>
      <c r="F352" s="4">
        <v>220</v>
      </c>
      <c r="G352" s="4">
        <v>140000</v>
      </c>
      <c r="H352" s="4">
        <v>0.28000000000000003</v>
      </c>
      <c r="I352" s="4">
        <v>179200</v>
      </c>
      <c r="J352" s="4">
        <v>11947</v>
      </c>
      <c r="K352" s="4">
        <v>2140902400</v>
      </c>
    </row>
    <row r="353" spans="1:11" x14ac:dyDescent="0.3">
      <c r="A353" s="1">
        <v>45566</v>
      </c>
      <c r="B353">
        <v>2024</v>
      </c>
      <c r="C353">
        <v>10</v>
      </c>
      <c r="D353" t="s">
        <v>11</v>
      </c>
      <c r="E353" t="s">
        <v>22</v>
      </c>
      <c r="F353">
        <v>220</v>
      </c>
      <c r="G353">
        <v>140000</v>
      </c>
      <c r="H353">
        <v>0.28000000000000003</v>
      </c>
      <c r="I353">
        <v>179200</v>
      </c>
      <c r="J353">
        <v>13455</v>
      </c>
      <c r="K353">
        <v>2411136000</v>
      </c>
    </row>
    <row r="354" spans="1:11" x14ac:dyDescent="0.3">
      <c r="A354" s="8">
        <v>45597</v>
      </c>
      <c r="B354" s="4">
        <v>2024</v>
      </c>
      <c r="C354" s="4">
        <v>11</v>
      </c>
      <c r="D354" s="4" t="s">
        <v>11</v>
      </c>
      <c r="E354" s="4" t="s">
        <v>22</v>
      </c>
      <c r="F354" s="4">
        <v>220</v>
      </c>
      <c r="G354" s="4">
        <v>140000</v>
      </c>
      <c r="H354" s="4">
        <v>0.28000000000000003</v>
      </c>
      <c r="I354" s="4">
        <v>179200</v>
      </c>
      <c r="J354" s="4">
        <v>13203</v>
      </c>
      <c r="K354" s="4">
        <v>2365977600</v>
      </c>
    </row>
    <row r="355" spans="1:11" x14ac:dyDescent="0.3">
      <c r="A355" s="1">
        <v>45627</v>
      </c>
      <c r="B355">
        <v>2024</v>
      </c>
      <c r="C355">
        <v>12</v>
      </c>
      <c r="D355" t="s">
        <v>11</v>
      </c>
      <c r="E355" t="s">
        <v>22</v>
      </c>
      <c r="F355">
        <v>220</v>
      </c>
      <c r="G355">
        <v>140000</v>
      </c>
      <c r="H355">
        <v>0.28000000000000003</v>
      </c>
      <c r="I355">
        <v>179200</v>
      </c>
      <c r="J355">
        <v>13973</v>
      </c>
      <c r="K355">
        <v>2503961600</v>
      </c>
    </row>
    <row r="356" spans="1:11" x14ac:dyDescent="0.3">
      <c r="A356" s="8">
        <v>45658</v>
      </c>
      <c r="B356" s="4">
        <v>2025</v>
      </c>
      <c r="C356" s="4">
        <v>1</v>
      </c>
      <c r="D356" s="4" t="s">
        <v>11</v>
      </c>
      <c r="E356" s="4" t="s">
        <v>22</v>
      </c>
      <c r="F356" s="4">
        <v>220</v>
      </c>
      <c r="G356" s="4">
        <v>140000</v>
      </c>
      <c r="H356" s="4">
        <v>0.28000000000000003</v>
      </c>
      <c r="I356" s="4">
        <v>179200</v>
      </c>
      <c r="J356" s="4">
        <v>14654</v>
      </c>
      <c r="K356" s="4">
        <v>2625996800</v>
      </c>
    </row>
    <row r="357" spans="1:11" x14ac:dyDescent="0.3">
      <c r="A357" s="1">
        <v>45689</v>
      </c>
      <c r="B357">
        <v>2025</v>
      </c>
      <c r="C357">
        <v>2</v>
      </c>
      <c r="D357" t="s">
        <v>11</v>
      </c>
      <c r="E357" t="s">
        <v>22</v>
      </c>
      <c r="F357">
        <v>220</v>
      </c>
      <c r="G357">
        <v>140000</v>
      </c>
      <c r="H357">
        <v>0.28000000000000003</v>
      </c>
      <c r="I357">
        <v>179200</v>
      </c>
      <c r="J357">
        <v>21145</v>
      </c>
      <c r="K357">
        <v>3789184000</v>
      </c>
    </row>
    <row r="358" spans="1:11" x14ac:dyDescent="0.3">
      <c r="A358" s="8">
        <v>45717</v>
      </c>
      <c r="B358" s="4">
        <v>2025</v>
      </c>
      <c r="C358" s="4">
        <v>3</v>
      </c>
      <c r="D358" s="4" t="s">
        <v>11</v>
      </c>
      <c r="E358" s="4" t="s">
        <v>22</v>
      </c>
      <c r="F358" s="4">
        <v>220</v>
      </c>
      <c r="G358" s="4">
        <v>140000</v>
      </c>
      <c r="H358" s="4">
        <v>0.28000000000000003</v>
      </c>
      <c r="I358" s="4">
        <v>179200</v>
      </c>
      <c r="J358" s="4">
        <v>18780</v>
      </c>
      <c r="K358" s="4">
        <v>3365376000</v>
      </c>
    </row>
    <row r="359" spans="1:11" x14ac:dyDescent="0.3">
      <c r="A359" s="1">
        <v>45748</v>
      </c>
      <c r="B359">
        <v>2025</v>
      </c>
      <c r="C359">
        <v>4</v>
      </c>
      <c r="D359" t="s">
        <v>11</v>
      </c>
      <c r="E359" t="s">
        <v>22</v>
      </c>
      <c r="F359">
        <v>220</v>
      </c>
      <c r="G359">
        <v>140000</v>
      </c>
      <c r="H359">
        <v>0.28000000000000003</v>
      </c>
      <c r="I359">
        <v>179200</v>
      </c>
      <c r="J359">
        <v>17026</v>
      </c>
      <c r="K359">
        <v>3051059200</v>
      </c>
    </row>
    <row r="360" spans="1:11" x14ac:dyDescent="0.3">
      <c r="A360" s="8">
        <v>45778</v>
      </c>
      <c r="B360" s="4">
        <v>2025</v>
      </c>
      <c r="C360" s="4">
        <v>5</v>
      </c>
      <c r="D360" s="4" t="s">
        <v>11</v>
      </c>
      <c r="E360" s="4" t="s">
        <v>22</v>
      </c>
      <c r="F360" s="4">
        <v>220</v>
      </c>
      <c r="G360" s="4">
        <v>140000</v>
      </c>
      <c r="H360" s="4">
        <v>0.28000000000000003</v>
      </c>
      <c r="I360" s="4">
        <v>179200</v>
      </c>
      <c r="J360" s="4">
        <v>17445</v>
      </c>
      <c r="K360" s="4">
        <v>3126144000</v>
      </c>
    </row>
    <row r="361" spans="1:11" x14ac:dyDescent="0.3">
      <c r="A361" s="1">
        <v>45809</v>
      </c>
      <c r="B361">
        <v>2025</v>
      </c>
      <c r="C361">
        <v>6</v>
      </c>
      <c r="D361" t="s">
        <v>11</v>
      </c>
      <c r="E361" t="s">
        <v>22</v>
      </c>
      <c r="F361">
        <v>220</v>
      </c>
      <c r="G361">
        <v>140000</v>
      </c>
      <c r="H361">
        <v>0.28000000000000003</v>
      </c>
      <c r="I361">
        <v>179200</v>
      </c>
      <c r="J361">
        <v>12605</v>
      </c>
      <c r="K361">
        <v>2258816000</v>
      </c>
    </row>
    <row r="362" spans="1:11" x14ac:dyDescent="0.3">
      <c r="A362" s="8">
        <v>45839</v>
      </c>
      <c r="B362" s="4">
        <v>2025</v>
      </c>
      <c r="C362" s="4">
        <v>7</v>
      </c>
      <c r="D362" s="4" t="s">
        <v>11</v>
      </c>
      <c r="E362" s="4" t="s">
        <v>22</v>
      </c>
      <c r="F362" s="4">
        <v>220</v>
      </c>
      <c r="G362" s="4">
        <v>140000</v>
      </c>
      <c r="H362" s="4">
        <v>0.28000000000000003</v>
      </c>
      <c r="I362" s="4">
        <v>179200</v>
      </c>
      <c r="J362" s="4">
        <v>11944</v>
      </c>
      <c r="K362" s="4">
        <v>2140364800</v>
      </c>
    </row>
    <row r="363" spans="1:11" x14ac:dyDescent="0.3">
      <c r="A363" s="1">
        <v>45870</v>
      </c>
      <c r="B363">
        <v>2025</v>
      </c>
      <c r="C363">
        <v>8</v>
      </c>
      <c r="D363" t="s">
        <v>11</v>
      </c>
      <c r="E363" t="s">
        <v>22</v>
      </c>
      <c r="F363">
        <v>220</v>
      </c>
      <c r="G363">
        <v>140000</v>
      </c>
      <c r="H363">
        <v>0.28000000000000003</v>
      </c>
      <c r="I363">
        <v>179200</v>
      </c>
      <c r="J363">
        <v>13324</v>
      </c>
      <c r="K363">
        <v>2387660800</v>
      </c>
    </row>
    <row r="364" spans="1:11" x14ac:dyDescent="0.3">
      <c r="A364" s="8">
        <v>45901</v>
      </c>
      <c r="B364" s="4">
        <v>2025</v>
      </c>
      <c r="C364" s="4">
        <v>9</v>
      </c>
      <c r="D364" s="4" t="s">
        <v>11</v>
      </c>
      <c r="E364" s="4" t="s">
        <v>22</v>
      </c>
      <c r="F364" s="4">
        <v>220</v>
      </c>
      <c r="G364" s="4">
        <v>140000</v>
      </c>
      <c r="H364" s="4">
        <v>0.28000000000000003</v>
      </c>
      <c r="I364" s="4">
        <v>179200</v>
      </c>
      <c r="J364" s="4">
        <v>13163</v>
      </c>
      <c r="K364" s="4">
        <v>2358809600</v>
      </c>
    </row>
    <row r="365" spans="1:11" x14ac:dyDescent="0.3">
      <c r="A365" s="1">
        <v>44927</v>
      </c>
      <c r="B365">
        <v>2023</v>
      </c>
      <c r="C365">
        <v>1</v>
      </c>
      <c r="D365" t="s">
        <v>11</v>
      </c>
      <c r="E365" t="s">
        <v>23</v>
      </c>
      <c r="F365">
        <v>248</v>
      </c>
      <c r="G365">
        <v>180000</v>
      </c>
      <c r="H365">
        <v>0.28000000000000003</v>
      </c>
      <c r="I365">
        <v>230400</v>
      </c>
      <c r="J365">
        <v>13556</v>
      </c>
      <c r="K365">
        <v>3123302400</v>
      </c>
    </row>
    <row r="366" spans="1:11" x14ac:dyDescent="0.3">
      <c r="A366" s="8">
        <v>44958</v>
      </c>
      <c r="B366" s="4">
        <v>2023</v>
      </c>
      <c r="C366" s="4">
        <v>2</v>
      </c>
      <c r="D366" s="4" t="s">
        <v>11</v>
      </c>
      <c r="E366" s="4" t="s">
        <v>23</v>
      </c>
      <c r="F366" s="4">
        <v>248</v>
      </c>
      <c r="G366" s="4">
        <v>180000</v>
      </c>
      <c r="H366" s="4">
        <v>0.28000000000000003</v>
      </c>
      <c r="I366" s="4">
        <v>230400</v>
      </c>
      <c r="J366" s="4">
        <v>9254</v>
      </c>
      <c r="K366" s="4">
        <v>2132121600</v>
      </c>
    </row>
    <row r="367" spans="1:11" x14ac:dyDescent="0.3">
      <c r="A367" s="1">
        <v>44986</v>
      </c>
      <c r="B367">
        <v>2023</v>
      </c>
      <c r="C367">
        <v>3</v>
      </c>
      <c r="D367" t="s">
        <v>11</v>
      </c>
      <c r="E367" t="s">
        <v>23</v>
      </c>
      <c r="F367">
        <v>248</v>
      </c>
      <c r="G367">
        <v>180000</v>
      </c>
      <c r="H367">
        <v>0.28000000000000003</v>
      </c>
      <c r="I367">
        <v>230400</v>
      </c>
      <c r="J367">
        <v>11454</v>
      </c>
      <c r="K367">
        <v>2639001600</v>
      </c>
    </row>
    <row r="368" spans="1:11" x14ac:dyDescent="0.3">
      <c r="A368" s="8">
        <v>45017</v>
      </c>
      <c r="B368" s="4">
        <v>2023</v>
      </c>
      <c r="C368" s="4">
        <v>4</v>
      </c>
      <c r="D368" s="4" t="s">
        <v>11</v>
      </c>
      <c r="E368" s="4" t="s">
        <v>23</v>
      </c>
      <c r="F368" s="4">
        <v>248</v>
      </c>
      <c r="G368" s="4">
        <v>180000</v>
      </c>
      <c r="H368" s="4">
        <v>0.28000000000000003</v>
      </c>
      <c r="I368" s="4">
        <v>230400</v>
      </c>
      <c r="J368" s="4">
        <v>11694</v>
      </c>
      <c r="K368" s="4">
        <v>2694297600</v>
      </c>
    </row>
    <row r="369" spans="1:11" x14ac:dyDescent="0.3">
      <c r="A369" s="1">
        <v>45047</v>
      </c>
      <c r="B369">
        <v>2023</v>
      </c>
      <c r="C369">
        <v>5</v>
      </c>
      <c r="D369" t="s">
        <v>11</v>
      </c>
      <c r="E369" t="s">
        <v>23</v>
      </c>
      <c r="F369">
        <v>248</v>
      </c>
      <c r="G369">
        <v>180000</v>
      </c>
      <c r="H369">
        <v>0.28000000000000003</v>
      </c>
      <c r="I369">
        <v>230400</v>
      </c>
      <c r="J369">
        <v>11552</v>
      </c>
      <c r="K369">
        <v>2661580800</v>
      </c>
    </row>
    <row r="370" spans="1:11" x14ac:dyDescent="0.3">
      <c r="A370" s="8">
        <v>45078</v>
      </c>
      <c r="B370" s="4">
        <v>2023</v>
      </c>
      <c r="C370" s="4">
        <v>6</v>
      </c>
      <c r="D370" s="4" t="s">
        <v>11</v>
      </c>
      <c r="E370" s="4" t="s">
        <v>23</v>
      </c>
      <c r="F370" s="4">
        <v>248</v>
      </c>
      <c r="G370" s="4">
        <v>180000</v>
      </c>
      <c r="H370" s="4">
        <v>0.28000000000000003</v>
      </c>
      <c r="I370" s="4">
        <v>230400</v>
      </c>
      <c r="J370" s="4">
        <v>9499</v>
      </c>
      <c r="K370" s="4">
        <v>2188569600</v>
      </c>
    </row>
    <row r="371" spans="1:11" x14ac:dyDescent="0.3">
      <c r="A371" s="1">
        <v>45108</v>
      </c>
      <c r="B371">
        <v>2023</v>
      </c>
      <c r="C371">
        <v>7</v>
      </c>
      <c r="D371" t="s">
        <v>11</v>
      </c>
      <c r="E371" t="s">
        <v>23</v>
      </c>
      <c r="F371">
        <v>248</v>
      </c>
      <c r="G371">
        <v>180000</v>
      </c>
      <c r="H371">
        <v>0.28000000000000003</v>
      </c>
      <c r="I371">
        <v>230400</v>
      </c>
      <c r="J371">
        <v>9998</v>
      </c>
      <c r="K371">
        <v>2303539200</v>
      </c>
    </row>
    <row r="372" spans="1:11" x14ac:dyDescent="0.3">
      <c r="A372" s="8">
        <v>45139</v>
      </c>
      <c r="B372" s="4">
        <v>2023</v>
      </c>
      <c r="C372" s="4">
        <v>8</v>
      </c>
      <c r="D372" s="4" t="s">
        <v>11</v>
      </c>
      <c r="E372" s="4" t="s">
        <v>23</v>
      </c>
      <c r="F372" s="4">
        <v>248</v>
      </c>
      <c r="G372" s="4">
        <v>180000</v>
      </c>
      <c r="H372" s="4">
        <v>0.28000000000000003</v>
      </c>
      <c r="I372" s="4">
        <v>230400</v>
      </c>
      <c r="J372" s="4">
        <v>9085</v>
      </c>
      <c r="K372" s="4">
        <v>2093184000</v>
      </c>
    </row>
    <row r="373" spans="1:11" x14ac:dyDescent="0.3">
      <c r="A373" s="1">
        <v>45170</v>
      </c>
      <c r="B373">
        <v>2023</v>
      </c>
      <c r="C373">
        <v>9</v>
      </c>
      <c r="D373" t="s">
        <v>11</v>
      </c>
      <c r="E373" t="s">
        <v>23</v>
      </c>
      <c r="F373">
        <v>248</v>
      </c>
      <c r="G373">
        <v>180000</v>
      </c>
      <c r="H373">
        <v>0.28000000000000003</v>
      </c>
      <c r="I373">
        <v>230400</v>
      </c>
      <c r="J373">
        <v>7087</v>
      </c>
      <c r="K373">
        <v>1632844800</v>
      </c>
    </row>
    <row r="374" spans="1:11" x14ac:dyDescent="0.3">
      <c r="A374" s="8">
        <v>45200</v>
      </c>
      <c r="B374" s="4">
        <v>2023</v>
      </c>
      <c r="C374" s="4">
        <v>10</v>
      </c>
      <c r="D374" s="4" t="s">
        <v>11</v>
      </c>
      <c r="E374" s="4" t="s">
        <v>23</v>
      </c>
      <c r="F374" s="4">
        <v>248</v>
      </c>
      <c r="G374" s="4">
        <v>180000</v>
      </c>
      <c r="H374" s="4">
        <v>0.28000000000000003</v>
      </c>
      <c r="I374" s="4">
        <v>230400</v>
      </c>
      <c r="J374" s="4">
        <v>10279</v>
      </c>
      <c r="K374" s="4">
        <v>2368281600</v>
      </c>
    </row>
    <row r="375" spans="1:11" x14ac:dyDescent="0.3">
      <c r="A375" s="1">
        <v>45231</v>
      </c>
      <c r="B375">
        <v>2023</v>
      </c>
      <c r="C375">
        <v>11</v>
      </c>
      <c r="D375" t="s">
        <v>11</v>
      </c>
      <c r="E375" t="s">
        <v>23</v>
      </c>
      <c r="F375">
        <v>248</v>
      </c>
      <c r="G375">
        <v>180000</v>
      </c>
      <c r="H375">
        <v>0.28000000000000003</v>
      </c>
      <c r="I375">
        <v>230400</v>
      </c>
      <c r="J375">
        <v>7901</v>
      </c>
      <c r="K375">
        <v>1820390400</v>
      </c>
    </row>
    <row r="376" spans="1:11" x14ac:dyDescent="0.3">
      <c r="A376" s="8">
        <v>45261</v>
      </c>
      <c r="B376" s="4">
        <v>2023</v>
      </c>
      <c r="C376" s="4">
        <v>12</v>
      </c>
      <c r="D376" s="4" t="s">
        <v>11</v>
      </c>
      <c r="E376" s="4" t="s">
        <v>23</v>
      </c>
      <c r="F376" s="4">
        <v>248</v>
      </c>
      <c r="G376" s="4">
        <v>180000</v>
      </c>
      <c r="H376" s="4">
        <v>0.28000000000000003</v>
      </c>
      <c r="I376" s="4">
        <v>230400</v>
      </c>
      <c r="J376" s="4">
        <v>10510</v>
      </c>
      <c r="K376" s="4">
        <v>2421504000</v>
      </c>
    </row>
    <row r="377" spans="1:11" x14ac:dyDescent="0.3">
      <c r="A377" s="1">
        <v>45292</v>
      </c>
      <c r="B377">
        <v>2024</v>
      </c>
      <c r="C377">
        <v>1</v>
      </c>
      <c r="D377" t="s">
        <v>11</v>
      </c>
      <c r="E377" t="s">
        <v>23</v>
      </c>
      <c r="F377">
        <v>248</v>
      </c>
      <c r="G377">
        <v>180000</v>
      </c>
      <c r="H377">
        <v>0.28000000000000003</v>
      </c>
      <c r="I377">
        <v>230400</v>
      </c>
      <c r="J377">
        <v>9080</v>
      </c>
      <c r="K377">
        <v>2092032000</v>
      </c>
    </row>
    <row r="378" spans="1:11" x14ac:dyDescent="0.3">
      <c r="A378" s="8">
        <v>45323</v>
      </c>
      <c r="B378" s="4">
        <v>2024</v>
      </c>
      <c r="C378" s="4">
        <v>2</v>
      </c>
      <c r="D378" s="4" t="s">
        <v>11</v>
      </c>
      <c r="E378" s="4" t="s">
        <v>23</v>
      </c>
      <c r="F378" s="4">
        <v>248</v>
      </c>
      <c r="G378" s="4">
        <v>180000</v>
      </c>
      <c r="H378" s="4">
        <v>0.28000000000000003</v>
      </c>
      <c r="I378" s="4">
        <v>230400</v>
      </c>
      <c r="J378" s="4">
        <v>12521</v>
      </c>
      <c r="K378" s="4">
        <v>2884838400</v>
      </c>
    </row>
    <row r="379" spans="1:11" x14ac:dyDescent="0.3">
      <c r="A379" s="1">
        <v>45352</v>
      </c>
      <c r="B379">
        <v>2024</v>
      </c>
      <c r="C379">
        <v>3</v>
      </c>
      <c r="D379" t="s">
        <v>11</v>
      </c>
      <c r="E379" t="s">
        <v>23</v>
      </c>
      <c r="F379">
        <v>248</v>
      </c>
      <c r="G379">
        <v>180000</v>
      </c>
      <c r="H379">
        <v>0.28000000000000003</v>
      </c>
      <c r="I379">
        <v>230400</v>
      </c>
      <c r="J379">
        <v>14036</v>
      </c>
      <c r="K379">
        <v>3233894400</v>
      </c>
    </row>
    <row r="380" spans="1:11" x14ac:dyDescent="0.3">
      <c r="A380" s="8">
        <v>45383</v>
      </c>
      <c r="B380" s="4">
        <v>2024</v>
      </c>
      <c r="C380" s="4">
        <v>4</v>
      </c>
      <c r="D380" s="4" t="s">
        <v>11</v>
      </c>
      <c r="E380" s="4" t="s">
        <v>23</v>
      </c>
      <c r="F380" s="4">
        <v>248</v>
      </c>
      <c r="G380" s="4">
        <v>180000</v>
      </c>
      <c r="H380" s="4">
        <v>0.28000000000000003</v>
      </c>
      <c r="I380" s="4">
        <v>230400</v>
      </c>
      <c r="J380" s="4">
        <v>11108</v>
      </c>
      <c r="K380" s="4">
        <v>2559283200</v>
      </c>
    </row>
    <row r="381" spans="1:11" x14ac:dyDescent="0.3">
      <c r="A381" s="1">
        <v>45413</v>
      </c>
      <c r="B381">
        <v>2024</v>
      </c>
      <c r="C381">
        <v>5</v>
      </c>
      <c r="D381" t="s">
        <v>11</v>
      </c>
      <c r="E381" t="s">
        <v>23</v>
      </c>
      <c r="F381">
        <v>248</v>
      </c>
      <c r="G381">
        <v>180000</v>
      </c>
      <c r="H381">
        <v>0.28000000000000003</v>
      </c>
      <c r="I381">
        <v>230400</v>
      </c>
      <c r="J381">
        <v>10471</v>
      </c>
      <c r="K381">
        <v>2412518400</v>
      </c>
    </row>
    <row r="382" spans="1:11" x14ac:dyDescent="0.3">
      <c r="A382" s="8">
        <v>45444</v>
      </c>
      <c r="B382" s="4">
        <v>2024</v>
      </c>
      <c r="C382" s="4">
        <v>6</v>
      </c>
      <c r="D382" s="4" t="s">
        <v>11</v>
      </c>
      <c r="E382" s="4" t="s">
        <v>23</v>
      </c>
      <c r="F382" s="4">
        <v>248</v>
      </c>
      <c r="G382" s="4">
        <v>180000</v>
      </c>
      <c r="H382" s="4">
        <v>0.28000000000000003</v>
      </c>
      <c r="I382" s="4">
        <v>230400</v>
      </c>
      <c r="J382" s="4">
        <v>9623</v>
      </c>
      <c r="K382" s="4">
        <v>2217139200</v>
      </c>
    </row>
    <row r="383" spans="1:11" x14ac:dyDescent="0.3">
      <c r="A383" s="1">
        <v>45474</v>
      </c>
      <c r="B383">
        <v>2024</v>
      </c>
      <c r="C383">
        <v>7</v>
      </c>
      <c r="D383" t="s">
        <v>11</v>
      </c>
      <c r="E383" t="s">
        <v>23</v>
      </c>
      <c r="F383">
        <v>248</v>
      </c>
      <c r="G383">
        <v>180000</v>
      </c>
      <c r="H383">
        <v>0.28000000000000003</v>
      </c>
      <c r="I383">
        <v>230400</v>
      </c>
      <c r="J383">
        <v>9271</v>
      </c>
      <c r="K383">
        <v>2136038400</v>
      </c>
    </row>
    <row r="384" spans="1:11" x14ac:dyDescent="0.3">
      <c r="A384" s="8">
        <v>45505</v>
      </c>
      <c r="B384" s="4">
        <v>2024</v>
      </c>
      <c r="C384" s="4">
        <v>8</v>
      </c>
      <c r="D384" s="4" t="s">
        <v>11</v>
      </c>
      <c r="E384" s="4" t="s">
        <v>23</v>
      </c>
      <c r="F384" s="4">
        <v>248</v>
      </c>
      <c r="G384" s="4">
        <v>180000</v>
      </c>
      <c r="H384" s="4">
        <v>0.28000000000000003</v>
      </c>
      <c r="I384" s="4">
        <v>230400</v>
      </c>
      <c r="J384" s="4">
        <v>7879</v>
      </c>
      <c r="K384" s="4">
        <v>1815321600</v>
      </c>
    </row>
    <row r="385" spans="1:11" x14ac:dyDescent="0.3">
      <c r="A385" s="1">
        <v>45536</v>
      </c>
      <c r="B385">
        <v>2024</v>
      </c>
      <c r="C385">
        <v>9</v>
      </c>
      <c r="D385" t="s">
        <v>11</v>
      </c>
      <c r="E385" t="s">
        <v>23</v>
      </c>
      <c r="F385">
        <v>248</v>
      </c>
      <c r="G385">
        <v>180000</v>
      </c>
      <c r="H385">
        <v>0.28000000000000003</v>
      </c>
      <c r="I385">
        <v>230400</v>
      </c>
      <c r="J385">
        <v>7942</v>
      </c>
      <c r="K385">
        <v>1829836800</v>
      </c>
    </row>
    <row r="386" spans="1:11" x14ac:dyDescent="0.3">
      <c r="A386" s="8">
        <v>45566</v>
      </c>
      <c r="B386" s="4">
        <v>2024</v>
      </c>
      <c r="C386" s="4">
        <v>10</v>
      </c>
      <c r="D386" s="4" t="s">
        <v>11</v>
      </c>
      <c r="E386" s="4" t="s">
        <v>23</v>
      </c>
      <c r="F386" s="4">
        <v>248</v>
      </c>
      <c r="G386" s="4">
        <v>180000</v>
      </c>
      <c r="H386" s="4">
        <v>0.28000000000000003</v>
      </c>
      <c r="I386" s="4">
        <v>230400</v>
      </c>
      <c r="J386" s="4">
        <v>8967</v>
      </c>
      <c r="K386" s="4">
        <v>2065996800</v>
      </c>
    </row>
    <row r="387" spans="1:11" x14ac:dyDescent="0.3">
      <c r="A387" s="1">
        <v>45597</v>
      </c>
      <c r="B387">
        <v>2024</v>
      </c>
      <c r="C387">
        <v>11</v>
      </c>
      <c r="D387" t="s">
        <v>11</v>
      </c>
      <c r="E387" t="s">
        <v>23</v>
      </c>
      <c r="F387">
        <v>248</v>
      </c>
      <c r="G387">
        <v>180000</v>
      </c>
      <c r="H387">
        <v>0.28000000000000003</v>
      </c>
      <c r="I387">
        <v>230400</v>
      </c>
      <c r="J387">
        <v>8751</v>
      </c>
      <c r="K387">
        <v>2016230400</v>
      </c>
    </row>
    <row r="388" spans="1:11" x14ac:dyDescent="0.3">
      <c r="A388" s="8">
        <v>45627</v>
      </c>
      <c r="B388" s="4">
        <v>2024</v>
      </c>
      <c r="C388" s="4">
        <v>12</v>
      </c>
      <c r="D388" s="4" t="s">
        <v>11</v>
      </c>
      <c r="E388" s="4" t="s">
        <v>23</v>
      </c>
      <c r="F388" s="4">
        <v>248</v>
      </c>
      <c r="G388" s="4">
        <v>180000</v>
      </c>
      <c r="H388" s="4">
        <v>0.28000000000000003</v>
      </c>
      <c r="I388" s="4">
        <v>230400</v>
      </c>
      <c r="J388" s="4">
        <v>10429</v>
      </c>
      <c r="K388" s="4">
        <v>2402841600</v>
      </c>
    </row>
    <row r="389" spans="1:11" x14ac:dyDescent="0.3">
      <c r="A389" s="1">
        <v>45658</v>
      </c>
      <c r="B389">
        <v>2025</v>
      </c>
      <c r="C389">
        <v>1</v>
      </c>
      <c r="D389" t="s">
        <v>11</v>
      </c>
      <c r="E389" t="s">
        <v>23</v>
      </c>
      <c r="F389">
        <v>248</v>
      </c>
      <c r="G389">
        <v>180000</v>
      </c>
      <c r="H389">
        <v>0.28000000000000003</v>
      </c>
      <c r="I389">
        <v>230400</v>
      </c>
      <c r="J389">
        <v>10976</v>
      </c>
      <c r="K389">
        <v>2528870400</v>
      </c>
    </row>
    <row r="390" spans="1:11" x14ac:dyDescent="0.3">
      <c r="A390" s="8">
        <v>45689</v>
      </c>
      <c r="B390" s="4">
        <v>2025</v>
      </c>
      <c r="C390" s="4">
        <v>2</v>
      </c>
      <c r="D390" s="4" t="s">
        <v>11</v>
      </c>
      <c r="E390" s="4" t="s">
        <v>23</v>
      </c>
      <c r="F390" s="4">
        <v>248</v>
      </c>
      <c r="G390" s="4">
        <v>180000</v>
      </c>
      <c r="H390" s="4">
        <v>0.28000000000000003</v>
      </c>
      <c r="I390" s="4">
        <v>230400</v>
      </c>
      <c r="J390" s="4">
        <v>11356</v>
      </c>
      <c r="K390" s="4">
        <v>2616422400</v>
      </c>
    </row>
    <row r="391" spans="1:11" x14ac:dyDescent="0.3">
      <c r="A391" s="1">
        <v>45717</v>
      </c>
      <c r="B391">
        <v>2025</v>
      </c>
      <c r="C391">
        <v>3</v>
      </c>
      <c r="D391" t="s">
        <v>11</v>
      </c>
      <c r="E391" t="s">
        <v>23</v>
      </c>
      <c r="F391">
        <v>248</v>
      </c>
      <c r="G391">
        <v>180000</v>
      </c>
      <c r="H391">
        <v>0.28000000000000003</v>
      </c>
      <c r="I391">
        <v>230400</v>
      </c>
      <c r="J391">
        <v>12220</v>
      </c>
      <c r="K391">
        <v>2815488000</v>
      </c>
    </row>
    <row r="392" spans="1:11" x14ac:dyDescent="0.3">
      <c r="A392" s="8">
        <v>45748</v>
      </c>
      <c r="B392" s="4">
        <v>2025</v>
      </c>
      <c r="C392" s="4">
        <v>4</v>
      </c>
      <c r="D392" s="4" t="s">
        <v>11</v>
      </c>
      <c r="E392" s="4" t="s">
        <v>23</v>
      </c>
      <c r="F392" s="4">
        <v>248</v>
      </c>
      <c r="G392" s="4">
        <v>180000</v>
      </c>
      <c r="H392" s="4">
        <v>0.28000000000000003</v>
      </c>
      <c r="I392" s="4">
        <v>230400</v>
      </c>
      <c r="J392" s="4">
        <v>9535</v>
      </c>
      <c r="K392" s="4">
        <v>2196864000</v>
      </c>
    </row>
    <row r="393" spans="1:11" x14ac:dyDescent="0.3">
      <c r="A393" s="1">
        <v>45778</v>
      </c>
      <c r="B393">
        <v>2025</v>
      </c>
      <c r="C393">
        <v>5</v>
      </c>
      <c r="D393" t="s">
        <v>11</v>
      </c>
      <c r="E393" t="s">
        <v>23</v>
      </c>
      <c r="F393">
        <v>248</v>
      </c>
      <c r="G393">
        <v>180000</v>
      </c>
      <c r="H393">
        <v>0.28000000000000003</v>
      </c>
      <c r="I393">
        <v>230400</v>
      </c>
      <c r="J393">
        <v>10030</v>
      </c>
      <c r="K393">
        <v>2310912000</v>
      </c>
    </row>
    <row r="394" spans="1:11" x14ac:dyDescent="0.3">
      <c r="A394" s="8">
        <v>45809</v>
      </c>
      <c r="B394" s="4">
        <v>2025</v>
      </c>
      <c r="C394" s="4">
        <v>6</v>
      </c>
      <c r="D394" s="4" t="s">
        <v>11</v>
      </c>
      <c r="E394" s="4" t="s">
        <v>23</v>
      </c>
      <c r="F394" s="4">
        <v>248</v>
      </c>
      <c r="G394" s="4">
        <v>180000</v>
      </c>
      <c r="H394" s="4">
        <v>0.28000000000000003</v>
      </c>
      <c r="I394" s="4">
        <v>230400</v>
      </c>
      <c r="J394" s="4">
        <v>11020</v>
      </c>
      <c r="K394" s="4">
        <v>2539008000</v>
      </c>
    </row>
    <row r="395" spans="1:11" x14ac:dyDescent="0.3">
      <c r="A395" s="1">
        <v>45839</v>
      </c>
      <c r="B395">
        <v>2025</v>
      </c>
      <c r="C395">
        <v>7</v>
      </c>
      <c r="D395" t="s">
        <v>11</v>
      </c>
      <c r="E395" t="s">
        <v>23</v>
      </c>
      <c r="F395">
        <v>248</v>
      </c>
      <c r="G395">
        <v>180000</v>
      </c>
      <c r="H395">
        <v>0.28000000000000003</v>
      </c>
      <c r="I395">
        <v>230400</v>
      </c>
      <c r="J395">
        <v>9872</v>
      </c>
      <c r="K395">
        <v>2274508800</v>
      </c>
    </row>
    <row r="396" spans="1:11" x14ac:dyDescent="0.3">
      <c r="A396" s="8">
        <v>45870</v>
      </c>
      <c r="B396" s="4">
        <v>2025</v>
      </c>
      <c r="C396" s="4">
        <v>8</v>
      </c>
      <c r="D396" s="4" t="s">
        <v>11</v>
      </c>
      <c r="E396" s="4" t="s">
        <v>23</v>
      </c>
      <c r="F396" s="4">
        <v>248</v>
      </c>
      <c r="G396" s="4">
        <v>180000</v>
      </c>
      <c r="H396" s="4">
        <v>0.28000000000000003</v>
      </c>
      <c r="I396" s="4">
        <v>230400</v>
      </c>
      <c r="J396" s="4">
        <v>9672</v>
      </c>
      <c r="K396" s="4">
        <v>2228428800</v>
      </c>
    </row>
    <row r="397" spans="1:11" x14ac:dyDescent="0.3">
      <c r="A397" s="1">
        <v>45901</v>
      </c>
      <c r="B397">
        <v>2025</v>
      </c>
      <c r="C397">
        <v>9</v>
      </c>
      <c r="D397" t="s">
        <v>11</v>
      </c>
      <c r="E397" t="s">
        <v>23</v>
      </c>
      <c r="F397">
        <v>248</v>
      </c>
      <c r="G397">
        <v>180000</v>
      </c>
      <c r="H397">
        <v>0.28000000000000003</v>
      </c>
      <c r="I397">
        <v>230400</v>
      </c>
      <c r="J397">
        <v>8159</v>
      </c>
      <c r="K397">
        <v>1879833600</v>
      </c>
    </row>
    <row r="398" spans="1:11" x14ac:dyDescent="0.3">
      <c r="A398" s="8">
        <v>44927</v>
      </c>
      <c r="B398" s="4">
        <v>2023</v>
      </c>
      <c r="C398" s="4">
        <v>1</v>
      </c>
      <c r="D398" s="4" t="s">
        <v>11</v>
      </c>
      <c r="E398" s="4" t="s">
        <v>24</v>
      </c>
      <c r="F398" s="4">
        <v>373</v>
      </c>
      <c r="G398" s="4">
        <v>230000</v>
      </c>
      <c r="H398" s="4">
        <v>0.28000000000000003</v>
      </c>
      <c r="I398" s="4">
        <v>294400</v>
      </c>
      <c r="J398" s="4">
        <v>8795</v>
      </c>
      <c r="K398" s="4">
        <v>2589248000</v>
      </c>
    </row>
    <row r="399" spans="1:11" x14ac:dyDescent="0.3">
      <c r="A399" s="1">
        <v>44958</v>
      </c>
      <c r="B399">
        <v>2023</v>
      </c>
      <c r="C399">
        <v>2</v>
      </c>
      <c r="D399" t="s">
        <v>11</v>
      </c>
      <c r="E399" t="s">
        <v>24</v>
      </c>
      <c r="F399">
        <v>373</v>
      </c>
      <c r="G399">
        <v>230000</v>
      </c>
      <c r="H399">
        <v>0.28000000000000003</v>
      </c>
      <c r="I399">
        <v>294400</v>
      </c>
      <c r="J399">
        <v>8431</v>
      </c>
      <c r="K399">
        <v>2482086400</v>
      </c>
    </row>
    <row r="400" spans="1:11" x14ac:dyDescent="0.3">
      <c r="A400" s="8">
        <v>44986</v>
      </c>
      <c r="B400" s="4">
        <v>2023</v>
      </c>
      <c r="C400" s="4">
        <v>3</v>
      </c>
      <c r="D400" s="4" t="s">
        <v>11</v>
      </c>
      <c r="E400" s="4" t="s">
        <v>24</v>
      </c>
      <c r="F400" s="4">
        <v>373</v>
      </c>
      <c r="G400" s="4">
        <v>230000</v>
      </c>
      <c r="H400" s="4">
        <v>0.28000000000000003</v>
      </c>
      <c r="I400" s="4">
        <v>294400</v>
      </c>
      <c r="J400" s="4">
        <v>10383</v>
      </c>
      <c r="K400" s="4">
        <v>3056755200</v>
      </c>
    </row>
    <row r="401" spans="1:11" x14ac:dyDescent="0.3">
      <c r="A401" s="1">
        <v>45017</v>
      </c>
      <c r="B401">
        <v>2023</v>
      </c>
      <c r="C401">
        <v>4</v>
      </c>
      <c r="D401" t="s">
        <v>11</v>
      </c>
      <c r="E401" t="s">
        <v>24</v>
      </c>
      <c r="F401">
        <v>373</v>
      </c>
      <c r="G401">
        <v>230000</v>
      </c>
      <c r="H401">
        <v>0.28000000000000003</v>
      </c>
      <c r="I401">
        <v>294400</v>
      </c>
      <c r="J401">
        <v>9570</v>
      </c>
      <c r="K401">
        <v>2817408000</v>
      </c>
    </row>
    <row r="402" spans="1:11" x14ac:dyDescent="0.3">
      <c r="A402" s="8">
        <v>45047</v>
      </c>
      <c r="B402" s="4">
        <v>2023</v>
      </c>
      <c r="C402" s="4">
        <v>5</v>
      </c>
      <c r="D402" s="4" t="s">
        <v>11</v>
      </c>
      <c r="E402" s="4" t="s">
        <v>24</v>
      </c>
      <c r="F402" s="4">
        <v>373</v>
      </c>
      <c r="G402" s="4">
        <v>230000</v>
      </c>
      <c r="H402" s="4">
        <v>0.28000000000000003</v>
      </c>
      <c r="I402" s="4">
        <v>294400</v>
      </c>
      <c r="J402" s="4">
        <v>8254</v>
      </c>
      <c r="K402" s="4">
        <v>2429977600</v>
      </c>
    </row>
    <row r="403" spans="1:11" x14ac:dyDescent="0.3">
      <c r="A403" s="1">
        <v>45078</v>
      </c>
      <c r="B403">
        <v>2023</v>
      </c>
      <c r="C403">
        <v>6</v>
      </c>
      <c r="D403" t="s">
        <v>11</v>
      </c>
      <c r="E403" t="s">
        <v>24</v>
      </c>
      <c r="F403">
        <v>373</v>
      </c>
      <c r="G403">
        <v>230000</v>
      </c>
      <c r="H403">
        <v>0.28000000000000003</v>
      </c>
      <c r="I403">
        <v>294400</v>
      </c>
      <c r="J403">
        <v>7897</v>
      </c>
      <c r="K403">
        <v>2324876800</v>
      </c>
    </row>
    <row r="404" spans="1:11" x14ac:dyDescent="0.3">
      <c r="A404" s="8">
        <v>45108</v>
      </c>
      <c r="B404" s="4">
        <v>2023</v>
      </c>
      <c r="C404" s="4">
        <v>7</v>
      </c>
      <c r="D404" s="4" t="s">
        <v>11</v>
      </c>
      <c r="E404" s="4" t="s">
        <v>24</v>
      </c>
      <c r="F404" s="4">
        <v>373</v>
      </c>
      <c r="G404" s="4">
        <v>230000</v>
      </c>
      <c r="H404" s="4">
        <v>0.28000000000000003</v>
      </c>
      <c r="I404" s="4">
        <v>294400</v>
      </c>
      <c r="J404" s="4">
        <v>7671</v>
      </c>
      <c r="K404" s="4">
        <v>2258342400</v>
      </c>
    </row>
    <row r="405" spans="1:11" x14ac:dyDescent="0.3">
      <c r="A405" s="1">
        <v>45139</v>
      </c>
      <c r="B405">
        <v>2023</v>
      </c>
      <c r="C405">
        <v>8</v>
      </c>
      <c r="D405" t="s">
        <v>11</v>
      </c>
      <c r="E405" t="s">
        <v>24</v>
      </c>
      <c r="F405">
        <v>373</v>
      </c>
      <c r="G405">
        <v>230000</v>
      </c>
      <c r="H405">
        <v>0.28000000000000003</v>
      </c>
      <c r="I405">
        <v>294400</v>
      </c>
      <c r="J405">
        <v>7695</v>
      </c>
      <c r="K405">
        <v>2265408000</v>
      </c>
    </row>
    <row r="406" spans="1:11" x14ac:dyDescent="0.3">
      <c r="A406" s="8">
        <v>45170</v>
      </c>
      <c r="B406" s="4">
        <v>2023</v>
      </c>
      <c r="C406" s="4">
        <v>9</v>
      </c>
      <c r="D406" s="4" t="s">
        <v>11</v>
      </c>
      <c r="E406" s="4" t="s">
        <v>24</v>
      </c>
      <c r="F406" s="4">
        <v>373</v>
      </c>
      <c r="G406" s="4">
        <v>230000</v>
      </c>
      <c r="H406" s="4">
        <v>0.28000000000000003</v>
      </c>
      <c r="I406" s="4">
        <v>294400</v>
      </c>
      <c r="J406" s="4">
        <v>6769</v>
      </c>
      <c r="K406" s="4">
        <v>1992793600</v>
      </c>
    </row>
    <row r="407" spans="1:11" x14ac:dyDescent="0.3">
      <c r="A407" s="1">
        <v>45200</v>
      </c>
      <c r="B407">
        <v>2023</v>
      </c>
      <c r="C407">
        <v>10</v>
      </c>
      <c r="D407" t="s">
        <v>11</v>
      </c>
      <c r="E407" t="s">
        <v>24</v>
      </c>
      <c r="F407">
        <v>373</v>
      </c>
      <c r="G407">
        <v>230000</v>
      </c>
      <c r="H407">
        <v>0.28000000000000003</v>
      </c>
      <c r="I407">
        <v>294400</v>
      </c>
      <c r="J407">
        <v>6679</v>
      </c>
      <c r="K407">
        <v>1966297600</v>
      </c>
    </row>
    <row r="408" spans="1:11" x14ac:dyDescent="0.3">
      <c r="A408" s="8">
        <v>45231</v>
      </c>
      <c r="B408" s="4">
        <v>2023</v>
      </c>
      <c r="C408" s="4">
        <v>11</v>
      </c>
      <c r="D408" s="4" t="s">
        <v>11</v>
      </c>
      <c r="E408" s="4" t="s">
        <v>24</v>
      </c>
      <c r="F408" s="4">
        <v>373</v>
      </c>
      <c r="G408" s="4">
        <v>230000</v>
      </c>
      <c r="H408" s="4">
        <v>0.28000000000000003</v>
      </c>
      <c r="I408" s="4">
        <v>294400</v>
      </c>
      <c r="J408" s="4">
        <v>7417</v>
      </c>
      <c r="K408" s="4">
        <v>2183564800</v>
      </c>
    </row>
    <row r="409" spans="1:11" x14ac:dyDescent="0.3">
      <c r="A409" s="1">
        <v>45261</v>
      </c>
      <c r="B409">
        <v>2023</v>
      </c>
      <c r="C409">
        <v>12</v>
      </c>
      <c r="D409" t="s">
        <v>11</v>
      </c>
      <c r="E409" t="s">
        <v>24</v>
      </c>
      <c r="F409">
        <v>373</v>
      </c>
      <c r="G409">
        <v>230000</v>
      </c>
      <c r="H409">
        <v>0.28000000000000003</v>
      </c>
      <c r="I409">
        <v>294400</v>
      </c>
      <c r="J409">
        <v>7324</v>
      </c>
      <c r="K409">
        <v>2156185600</v>
      </c>
    </row>
    <row r="410" spans="1:11" x14ac:dyDescent="0.3">
      <c r="A410" s="8">
        <v>45292</v>
      </c>
      <c r="B410" s="4">
        <v>2024</v>
      </c>
      <c r="C410" s="4">
        <v>1</v>
      </c>
      <c r="D410" s="4" t="s">
        <v>11</v>
      </c>
      <c r="E410" s="4" t="s">
        <v>24</v>
      </c>
      <c r="F410" s="4">
        <v>373</v>
      </c>
      <c r="G410" s="4">
        <v>230000</v>
      </c>
      <c r="H410" s="4">
        <v>0.28000000000000003</v>
      </c>
      <c r="I410" s="4">
        <v>294400</v>
      </c>
      <c r="J410" s="4">
        <v>7329</v>
      </c>
      <c r="K410" s="4">
        <v>2157657600</v>
      </c>
    </row>
    <row r="411" spans="1:11" x14ac:dyDescent="0.3">
      <c r="A411" s="1">
        <v>45323</v>
      </c>
      <c r="B411">
        <v>2024</v>
      </c>
      <c r="C411">
        <v>2</v>
      </c>
      <c r="D411" t="s">
        <v>11</v>
      </c>
      <c r="E411" t="s">
        <v>24</v>
      </c>
      <c r="F411">
        <v>373</v>
      </c>
      <c r="G411">
        <v>230000</v>
      </c>
      <c r="H411">
        <v>0.28000000000000003</v>
      </c>
      <c r="I411">
        <v>294400</v>
      </c>
      <c r="J411">
        <v>8396</v>
      </c>
      <c r="K411">
        <v>2471782400</v>
      </c>
    </row>
    <row r="412" spans="1:11" x14ac:dyDescent="0.3">
      <c r="A412" s="8">
        <v>45352</v>
      </c>
      <c r="B412" s="4">
        <v>2024</v>
      </c>
      <c r="C412" s="4">
        <v>3</v>
      </c>
      <c r="D412" s="4" t="s">
        <v>11</v>
      </c>
      <c r="E412" s="4" t="s">
        <v>24</v>
      </c>
      <c r="F412" s="4">
        <v>373</v>
      </c>
      <c r="G412" s="4">
        <v>230000</v>
      </c>
      <c r="H412" s="4">
        <v>0.28000000000000003</v>
      </c>
      <c r="I412" s="4">
        <v>294400</v>
      </c>
      <c r="J412" s="4">
        <v>8740</v>
      </c>
      <c r="K412" s="4">
        <v>2573056000</v>
      </c>
    </row>
    <row r="413" spans="1:11" x14ac:dyDescent="0.3">
      <c r="A413" s="1">
        <v>45383</v>
      </c>
      <c r="B413">
        <v>2024</v>
      </c>
      <c r="C413">
        <v>4</v>
      </c>
      <c r="D413" t="s">
        <v>11</v>
      </c>
      <c r="E413" t="s">
        <v>24</v>
      </c>
      <c r="F413">
        <v>373</v>
      </c>
      <c r="G413">
        <v>230000</v>
      </c>
      <c r="H413">
        <v>0.28000000000000003</v>
      </c>
      <c r="I413">
        <v>294400</v>
      </c>
      <c r="J413">
        <v>7241</v>
      </c>
      <c r="K413">
        <v>2131750400</v>
      </c>
    </row>
    <row r="414" spans="1:11" x14ac:dyDescent="0.3">
      <c r="A414" s="8">
        <v>45413</v>
      </c>
      <c r="B414" s="4">
        <v>2024</v>
      </c>
      <c r="C414" s="4">
        <v>5</v>
      </c>
      <c r="D414" s="4" t="s">
        <v>11</v>
      </c>
      <c r="E414" s="4" t="s">
        <v>24</v>
      </c>
      <c r="F414" s="4">
        <v>373</v>
      </c>
      <c r="G414" s="4">
        <v>230000</v>
      </c>
      <c r="H414" s="4">
        <v>0.28000000000000003</v>
      </c>
      <c r="I414" s="4">
        <v>294400</v>
      </c>
      <c r="J414" s="4">
        <v>8726</v>
      </c>
      <c r="K414" s="4">
        <v>2568934400</v>
      </c>
    </row>
    <row r="415" spans="1:11" x14ac:dyDescent="0.3">
      <c r="A415" s="1">
        <v>45444</v>
      </c>
      <c r="B415">
        <v>2024</v>
      </c>
      <c r="C415">
        <v>6</v>
      </c>
      <c r="D415" t="s">
        <v>11</v>
      </c>
      <c r="E415" t="s">
        <v>24</v>
      </c>
      <c r="F415">
        <v>373</v>
      </c>
      <c r="G415">
        <v>230000</v>
      </c>
      <c r="H415">
        <v>0.28000000000000003</v>
      </c>
      <c r="I415">
        <v>294400</v>
      </c>
      <c r="J415">
        <v>6664</v>
      </c>
      <c r="K415">
        <v>1961881600</v>
      </c>
    </row>
    <row r="416" spans="1:11" x14ac:dyDescent="0.3">
      <c r="A416" s="8">
        <v>45474</v>
      </c>
      <c r="B416" s="4">
        <v>2024</v>
      </c>
      <c r="C416" s="4">
        <v>7</v>
      </c>
      <c r="D416" s="4" t="s">
        <v>11</v>
      </c>
      <c r="E416" s="4" t="s">
        <v>24</v>
      </c>
      <c r="F416" s="4">
        <v>373</v>
      </c>
      <c r="G416" s="4">
        <v>230000</v>
      </c>
      <c r="H416" s="4">
        <v>0.28000000000000003</v>
      </c>
      <c r="I416" s="4">
        <v>294400</v>
      </c>
      <c r="J416" s="4">
        <v>6740</v>
      </c>
      <c r="K416" s="4">
        <v>1984256000</v>
      </c>
    </row>
    <row r="417" spans="1:11" x14ac:dyDescent="0.3">
      <c r="A417" s="1">
        <v>45505</v>
      </c>
      <c r="B417">
        <v>2024</v>
      </c>
      <c r="C417">
        <v>8</v>
      </c>
      <c r="D417" t="s">
        <v>11</v>
      </c>
      <c r="E417" t="s">
        <v>24</v>
      </c>
      <c r="F417">
        <v>373</v>
      </c>
      <c r="G417">
        <v>230000</v>
      </c>
      <c r="H417">
        <v>0.28000000000000003</v>
      </c>
      <c r="I417">
        <v>294400</v>
      </c>
      <c r="J417">
        <v>7613</v>
      </c>
      <c r="K417">
        <v>2241267200</v>
      </c>
    </row>
    <row r="418" spans="1:11" x14ac:dyDescent="0.3">
      <c r="A418" s="8">
        <v>45536</v>
      </c>
      <c r="B418" s="4">
        <v>2024</v>
      </c>
      <c r="C418" s="4">
        <v>9</v>
      </c>
      <c r="D418" s="4" t="s">
        <v>11</v>
      </c>
      <c r="E418" s="4" t="s">
        <v>24</v>
      </c>
      <c r="F418" s="4">
        <v>373</v>
      </c>
      <c r="G418" s="4">
        <v>230000</v>
      </c>
      <c r="H418" s="4">
        <v>0.28000000000000003</v>
      </c>
      <c r="I418" s="4">
        <v>294400</v>
      </c>
      <c r="J418" s="4">
        <v>6077</v>
      </c>
      <c r="K418" s="4">
        <v>1789068800</v>
      </c>
    </row>
    <row r="419" spans="1:11" x14ac:dyDescent="0.3">
      <c r="A419" s="1">
        <v>45566</v>
      </c>
      <c r="B419">
        <v>2024</v>
      </c>
      <c r="C419">
        <v>10</v>
      </c>
      <c r="D419" t="s">
        <v>11</v>
      </c>
      <c r="E419" t="s">
        <v>24</v>
      </c>
      <c r="F419">
        <v>373</v>
      </c>
      <c r="G419">
        <v>230000</v>
      </c>
      <c r="H419">
        <v>0.28000000000000003</v>
      </c>
      <c r="I419">
        <v>294400</v>
      </c>
      <c r="J419">
        <v>5958</v>
      </c>
      <c r="K419">
        <v>1754035200</v>
      </c>
    </row>
    <row r="420" spans="1:11" x14ac:dyDescent="0.3">
      <c r="A420" s="8">
        <v>45597</v>
      </c>
      <c r="B420" s="4">
        <v>2024</v>
      </c>
      <c r="C420" s="4">
        <v>11</v>
      </c>
      <c r="D420" s="4" t="s">
        <v>11</v>
      </c>
      <c r="E420" s="4" t="s">
        <v>24</v>
      </c>
      <c r="F420" s="4">
        <v>373</v>
      </c>
      <c r="G420" s="4">
        <v>230000</v>
      </c>
      <c r="H420" s="4">
        <v>0.28000000000000003</v>
      </c>
      <c r="I420" s="4">
        <v>294400</v>
      </c>
      <c r="J420" s="4">
        <v>7860</v>
      </c>
      <c r="K420" s="4">
        <v>2313984000</v>
      </c>
    </row>
    <row r="421" spans="1:11" x14ac:dyDescent="0.3">
      <c r="A421" s="1">
        <v>45627</v>
      </c>
      <c r="B421">
        <v>2024</v>
      </c>
      <c r="C421">
        <v>12</v>
      </c>
      <c r="D421" t="s">
        <v>11</v>
      </c>
      <c r="E421" t="s">
        <v>24</v>
      </c>
      <c r="F421">
        <v>373</v>
      </c>
      <c r="G421">
        <v>230000</v>
      </c>
      <c r="H421">
        <v>0.28000000000000003</v>
      </c>
      <c r="I421">
        <v>294400</v>
      </c>
      <c r="J421">
        <v>7689</v>
      </c>
      <c r="K421">
        <v>2263641600</v>
      </c>
    </row>
    <row r="422" spans="1:11" x14ac:dyDescent="0.3">
      <c r="A422" s="8">
        <v>45658</v>
      </c>
      <c r="B422" s="4">
        <v>2025</v>
      </c>
      <c r="C422" s="4">
        <v>1</v>
      </c>
      <c r="D422" s="4" t="s">
        <v>11</v>
      </c>
      <c r="E422" s="4" t="s">
        <v>24</v>
      </c>
      <c r="F422" s="4">
        <v>373</v>
      </c>
      <c r="G422" s="4">
        <v>230000</v>
      </c>
      <c r="H422" s="4">
        <v>0.28000000000000003</v>
      </c>
      <c r="I422" s="4">
        <v>294400</v>
      </c>
      <c r="J422" s="4">
        <v>9403</v>
      </c>
      <c r="K422" s="4">
        <v>2768243200</v>
      </c>
    </row>
    <row r="423" spans="1:11" x14ac:dyDescent="0.3">
      <c r="A423" s="1">
        <v>45689</v>
      </c>
      <c r="B423">
        <v>2025</v>
      </c>
      <c r="C423">
        <v>2</v>
      </c>
      <c r="D423" t="s">
        <v>11</v>
      </c>
      <c r="E423" t="s">
        <v>24</v>
      </c>
      <c r="F423">
        <v>373</v>
      </c>
      <c r="G423">
        <v>230000</v>
      </c>
      <c r="H423">
        <v>0.28000000000000003</v>
      </c>
      <c r="I423">
        <v>294400</v>
      </c>
      <c r="J423">
        <v>6432</v>
      </c>
      <c r="K423">
        <v>1893580800</v>
      </c>
    </row>
    <row r="424" spans="1:11" x14ac:dyDescent="0.3">
      <c r="A424" s="8">
        <v>45717</v>
      </c>
      <c r="B424" s="4">
        <v>2025</v>
      </c>
      <c r="C424" s="4">
        <v>3</v>
      </c>
      <c r="D424" s="4" t="s">
        <v>11</v>
      </c>
      <c r="E424" s="4" t="s">
        <v>24</v>
      </c>
      <c r="F424" s="4">
        <v>373</v>
      </c>
      <c r="G424" s="4">
        <v>230000</v>
      </c>
      <c r="H424" s="4">
        <v>0.28000000000000003</v>
      </c>
      <c r="I424" s="4">
        <v>294400</v>
      </c>
      <c r="J424" s="4">
        <v>7697</v>
      </c>
      <c r="K424" s="4">
        <v>2265996800</v>
      </c>
    </row>
    <row r="425" spans="1:11" x14ac:dyDescent="0.3">
      <c r="A425" s="1">
        <v>45748</v>
      </c>
      <c r="B425">
        <v>2025</v>
      </c>
      <c r="C425">
        <v>4</v>
      </c>
      <c r="D425" t="s">
        <v>11</v>
      </c>
      <c r="E425" t="s">
        <v>24</v>
      </c>
      <c r="F425">
        <v>373</v>
      </c>
      <c r="G425">
        <v>230000</v>
      </c>
      <c r="H425">
        <v>0.28000000000000003</v>
      </c>
      <c r="I425">
        <v>294400</v>
      </c>
      <c r="J425">
        <v>9453</v>
      </c>
      <c r="K425">
        <v>2782963200</v>
      </c>
    </row>
    <row r="426" spans="1:11" x14ac:dyDescent="0.3">
      <c r="A426" s="8">
        <v>45778</v>
      </c>
      <c r="B426" s="4">
        <v>2025</v>
      </c>
      <c r="C426" s="4">
        <v>5</v>
      </c>
      <c r="D426" s="4" t="s">
        <v>11</v>
      </c>
      <c r="E426" s="4" t="s">
        <v>24</v>
      </c>
      <c r="F426" s="4">
        <v>373</v>
      </c>
      <c r="G426" s="4">
        <v>230000</v>
      </c>
      <c r="H426" s="4">
        <v>0.28000000000000003</v>
      </c>
      <c r="I426" s="4">
        <v>294400</v>
      </c>
      <c r="J426" s="4">
        <v>11203</v>
      </c>
      <c r="K426" s="4">
        <v>3298163200</v>
      </c>
    </row>
    <row r="427" spans="1:11" x14ac:dyDescent="0.3">
      <c r="A427" s="1">
        <v>45809</v>
      </c>
      <c r="B427">
        <v>2025</v>
      </c>
      <c r="C427">
        <v>6</v>
      </c>
      <c r="D427" t="s">
        <v>11</v>
      </c>
      <c r="E427" t="s">
        <v>24</v>
      </c>
      <c r="F427">
        <v>373</v>
      </c>
      <c r="G427">
        <v>230000</v>
      </c>
      <c r="H427">
        <v>0.28000000000000003</v>
      </c>
      <c r="I427">
        <v>294400</v>
      </c>
      <c r="J427">
        <v>6956</v>
      </c>
      <c r="K427">
        <v>2047846400</v>
      </c>
    </row>
    <row r="428" spans="1:11" x14ac:dyDescent="0.3">
      <c r="A428" s="8">
        <v>45839</v>
      </c>
      <c r="B428" s="4">
        <v>2025</v>
      </c>
      <c r="C428" s="4">
        <v>7</v>
      </c>
      <c r="D428" s="4" t="s">
        <v>11</v>
      </c>
      <c r="E428" s="4" t="s">
        <v>24</v>
      </c>
      <c r="F428" s="4">
        <v>373</v>
      </c>
      <c r="G428" s="4">
        <v>230000</v>
      </c>
      <c r="H428" s="4">
        <v>0.28000000000000003</v>
      </c>
      <c r="I428" s="4">
        <v>294400</v>
      </c>
      <c r="J428" s="4">
        <v>7738</v>
      </c>
      <c r="K428" s="4">
        <v>2278067200</v>
      </c>
    </row>
    <row r="429" spans="1:11" x14ac:dyDescent="0.3">
      <c r="A429" s="1">
        <v>45870</v>
      </c>
      <c r="B429">
        <v>2025</v>
      </c>
      <c r="C429">
        <v>8</v>
      </c>
      <c r="D429" t="s">
        <v>11</v>
      </c>
      <c r="E429" t="s">
        <v>24</v>
      </c>
      <c r="F429">
        <v>373</v>
      </c>
      <c r="G429">
        <v>230000</v>
      </c>
      <c r="H429">
        <v>0.28000000000000003</v>
      </c>
      <c r="I429">
        <v>294400</v>
      </c>
      <c r="J429">
        <v>6785</v>
      </c>
      <c r="K429">
        <v>1997504000</v>
      </c>
    </row>
    <row r="430" spans="1:11" x14ac:dyDescent="0.3">
      <c r="A430" s="8">
        <v>45901</v>
      </c>
      <c r="B430" s="4">
        <v>2025</v>
      </c>
      <c r="C430" s="4">
        <v>9</v>
      </c>
      <c r="D430" s="4" t="s">
        <v>11</v>
      </c>
      <c r="E430" s="4" t="s">
        <v>24</v>
      </c>
      <c r="F430" s="4">
        <v>373</v>
      </c>
      <c r="G430" s="4">
        <v>230000</v>
      </c>
      <c r="H430" s="4">
        <v>0.28000000000000003</v>
      </c>
      <c r="I430" s="4">
        <v>294400</v>
      </c>
      <c r="J430" s="4">
        <v>7256</v>
      </c>
      <c r="K430" s="4">
        <v>2136166400</v>
      </c>
    </row>
    <row r="431" spans="1:11" x14ac:dyDescent="0.3">
      <c r="A431" s="1">
        <v>44927</v>
      </c>
      <c r="B431">
        <v>2023</v>
      </c>
      <c r="C431">
        <v>1</v>
      </c>
      <c r="D431" t="s">
        <v>11</v>
      </c>
      <c r="E431" t="s">
        <v>25</v>
      </c>
      <c r="F431">
        <v>373</v>
      </c>
      <c r="G431">
        <v>240000</v>
      </c>
      <c r="H431">
        <v>0.28000000000000003</v>
      </c>
      <c r="I431">
        <v>307200</v>
      </c>
      <c r="J431">
        <v>6589</v>
      </c>
      <c r="K431">
        <v>2024140800</v>
      </c>
    </row>
    <row r="432" spans="1:11" x14ac:dyDescent="0.3">
      <c r="A432" s="8">
        <v>44958</v>
      </c>
      <c r="B432" s="4">
        <v>2023</v>
      </c>
      <c r="C432" s="4">
        <v>2</v>
      </c>
      <c r="D432" s="4" t="s">
        <v>11</v>
      </c>
      <c r="E432" s="4" t="s">
        <v>25</v>
      </c>
      <c r="F432" s="4">
        <v>373</v>
      </c>
      <c r="G432" s="4">
        <v>240000</v>
      </c>
      <c r="H432" s="4">
        <v>0.28000000000000003</v>
      </c>
      <c r="I432" s="4">
        <v>307200</v>
      </c>
      <c r="J432" s="4">
        <v>6525</v>
      </c>
      <c r="K432" s="4">
        <v>2004480000</v>
      </c>
    </row>
    <row r="433" spans="1:11" x14ac:dyDescent="0.3">
      <c r="A433" s="1">
        <v>44986</v>
      </c>
      <c r="B433">
        <v>2023</v>
      </c>
      <c r="C433">
        <v>3</v>
      </c>
      <c r="D433" t="s">
        <v>11</v>
      </c>
      <c r="E433" t="s">
        <v>25</v>
      </c>
      <c r="F433">
        <v>373</v>
      </c>
      <c r="G433">
        <v>240000</v>
      </c>
      <c r="H433">
        <v>0.28000000000000003</v>
      </c>
      <c r="I433">
        <v>307200</v>
      </c>
      <c r="J433">
        <v>6045</v>
      </c>
      <c r="K433">
        <v>1857024000</v>
      </c>
    </row>
    <row r="434" spans="1:11" x14ac:dyDescent="0.3">
      <c r="A434" s="8">
        <v>45017</v>
      </c>
      <c r="B434" s="4">
        <v>2023</v>
      </c>
      <c r="C434" s="4">
        <v>4</v>
      </c>
      <c r="D434" s="4" t="s">
        <v>11</v>
      </c>
      <c r="E434" s="4" t="s">
        <v>25</v>
      </c>
      <c r="F434" s="4">
        <v>373</v>
      </c>
      <c r="G434" s="4">
        <v>240000</v>
      </c>
      <c r="H434" s="4">
        <v>0.28000000000000003</v>
      </c>
      <c r="I434" s="4">
        <v>307200</v>
      </c>
      <c r="J434" s="4">
        <v>6702</v>
      </c>
      <c r="K434" s="4">
        <v>2058854400</v>
      </c>
    </row>
    <row r="435" spans="1:11" x14ac:dyDescent="0.3">
      <c r="A435" s="1">
        <v>45047</v>
      </c>
      <c r="B435">
        <v>2023</v>
      </c>
      <c r="C435">
        <v>5</v>
      </c>
      <c r="D435" t="s">
        <v>11</v>
      </c>
      <c r="E435" t="s">
        <v>25</v>
      </c>
      <c r="F435">
        <v>373</v>
      </c>
      <c r="G435">
        <v>240000</v>
      </c>
      <c r="H435">
        <v>0.28000000000000003</v>
      </c>
      <c r="I435">
        <v>307200</v>
      </c>
      <c r="J435">
        <v>7695</v>
      </c>
      <c r="K435">
        <v>2363904000</v>
      </c>
    </row>
    <row r="436" spans="1:11" x14ac:dyDescent="0.3">
      <c r="A436" s="8">
        <v>45078</v>
      </c>
      <c r="B436" s="4">
        <v>2023</v>
      </c>
      <c r="C436" s="4">
        <v>6</v>
      </c>
      <c r="D436" s="4" t="s">
        <v>11</v>
      </c>
      <c r="E436" s="4" t="s">
        <v>25</v>
      </c>
      <c r="F436" s="4">
        <v>373</v>
      </c>
      <c r="G436" s="4">
        <v>240000</v>
      </c>
      <c r="H436" s="4">
        <v>0.28000000000000003</v>
      </c>
      <c r="I436" s="4">
        <v>307200</v>
      </c>
      <c r="J436" s="4">
        <v>5640</v>
      </c>
      <c r="K436" s="4">
        <v>1732608000</v>
      </c>
    </row>
    <row r="437" spans="1:11" x14ac:dyDescent="0.3">
      <c r="A437" s="1">
        <v>45108</v>
      </c>
      <c r="B437">
        <v>2023</v>
      </c>
      <c r="C437">
        <v>7</v>
      </c>
      <c r="D437" t="s">
        <v>11</v>
      </c>
      <c r="E437" t="s">
        <v>25</v>
      </c>
      <c r="F437">
        <v>373</v>
      </c>
      <c r="G437">
        <v>240000</v>
      </c>
      <c r="H437">
        <v>0.28000000000000003</v>
      </c>
      <c r="I437">
        <v>307200</v>
      </c>
      <c r="J437">
        <v>4644</v>
      </c>
      <c r="K437">
        <v>1426636800</v>
      </c>
    </row>
    <row r="438" spans="1:11" x14ac:dyDescent="0.3">
      <c r="A438" s="8">
        <v>45139</v>
      </c>
      <c r="B438" s="4">
        <v>2023</v>
      </c>
      <c r="C438" s="4">
        <v>8</v>
      </c>
      <c r="D438" s="4" t="s">
        <v>11</v>
      </c>
      <c r="E438" s="4" t="s">
        <v>25</v>
      </c>
      <c r="F438" s="4">
        <v>373</v>
      </c>
      <c r="G438" s="4">
        <v>240000</v>
      </c>
      <c r="H438" s="4">
        <v>0.28000000000000003</v>
      </c>
      <c r="I438" s="4">
        <v>307200</v>
      </c>
      <c r="J438" s="4">
        <v>6515</v>
      </c>
      <c r="K438" s="4">
        <v>2001408000</v>
      </c>
    </row>
    <row r="439" spans="1:11" x14ac:dyDescent="0.3">
      <c r="A439" s="1">
        <v>45170</v>
      </c>
      <c r="B439">
        <v>2023</v>
      </c>
      <c r="C439">
        <v>9</v>
      </c>
      <c r="D439" t="s">
        <v>11</v>
      </c>
      <c r="E439" t="s">
        <v>25</v>
      </c>
      <c r="F439">
        <v>373</v>
      </c>
      <c r="G439">
        <v>240000</v>
      </c>
      <c r="H439">
        <v>0.28000000000000003</v>
      </c>
      <c r="I439">
        <v>307200</v>
      </c>
      <c r="J439">
        <v>4470</v>
      </c>
      <c r="K439">
        <v>1373184000</v>
      </c>
    </row>
    <row r="440" spans="1:11" x14ac:dyDescent="0.3">
      <c r="A440" s="8">
        <v>45200</v>
      </c>
      <c r="B440" s="4">
        <v>2023</v>
      </c>
      <c r="C440" s="4">
        <v>10</v>
      </c>
      <c r="D440" s="4" t="s">
        <v>11</v>
      </c>
      <c r="E440" s="4" t="s">
        <v>25</v>
      </c>
      <c r="F440" s="4">
        <v>373</v>
      </c>
      <c r="G440" s="4">
        <v>240000</v>
      </c>
      <c r="H440" s="4">
        <v>0.28000000000000003</v>
      </c>
      <c r="I440" s="4">
        <v>307200</v>
      </c>
      <c r="J440" s="4">
        <v>5561</v>
      </c>
      <c r="K440" s="4">
        <v>1708339200</v>
      </c>
    </row>
    <row r="441" spans="1:11" x14ac:dyDescent="0.3">
      <c r="A441" s="1">
        <v>45231</v>
      </c>
      <c r="B441">
        <v>2023</v>
      </c>
      <c r="C441">
        <v>11</v>
      </c>
      <c r="D441" t="s">
        <v>11</v>
      </c>
      <c r="E441" t="s">
        <v>25</v>
      </c>
      <c r="F441">
        <v>373</v>
      </c>
      <c r="G441">
        <v>240000</v>
      </c>
      <c r="H441">
        <v>0.28000000000000003</v>
      </c>
      <c r="I441">
        <v>307200</v>
      </c>
      <c r="J441">
        <v>5799</v>
      </c>
      <c r="K441">
        <v>1781452800</v>
      </c>
    </row>
    <row r="442" spans="1:11" x14ac:dyDescent="0.3">
      <c r="A442" s="8">
        <v>45261</v>
      </c>
      <c r="B442" s="4">
        <v>2023</v>
      </c>
      <c r="C442" s="4">
        <v>12</v>
      </c>
      <c r="D442" s="4" t="s">
        <v>11</v>
      </c>
      <c r="E442" s="4" t="s">
        <v>25</v>
      </c>
      <c r="F442" s="4">
        <v>373</v>
      </c>
      <c r="G442" s="4">
        <v>240000</v>
      </c>
      <c r="H442" s="4">
        <v>0.28000000000000003</v>
      </c>
      <c r="I442" s="4">
        <v>307200</v>
      </c>
      <c r="J442" s="4">
        <v>4762</v>
      </c>
      <c r="K442" s="4">
        <v>1462886400</v>
      </c>
    </row>
    <row r="443" spans="1:11" x14ac:dyDescent="0.3">
      <c r="A443" s="1">
        <v>45292</v>
      </c>
      <c r="B443">
        <v>2024</v>
      </c>
      <c r="C443">
        <v>1</v>
      </c>
      <c r="D443" t="s">
        <v>11</v>
      </c>
      <c r="E443" t="s">
        <v>25</v>
      </c>
      <c r="F443">
        <v>373</v>
      </c>
      <c r="G443">
        <v>240000</v>
      </c>
      <c r="H443">
        <v>0.28000000000000003</v>
      </c>
      <c r="I443">
        <v>307200</v>
      </c>
      <c r="J443">
        <v>6540</v>
      </c>
      <c r="K443">
        <v>2009088000</v>
      </c>
    </row>
    <row r="444" spans="1:11" x14ac:dyDescent="0.3">
      <c r="A444" s="8">
        <v>45323</v>
      </c>
      <c r="B444" s="4">
        <v>2024</v>
      </c>
      <c r="C444" s="4">
        <v>2</v>
      </c>
      <c r="D444" s="4" t="s">
        <v>11</v>
      </c>
      <c r="E444" s="4" t="s">
        <v>25</v>
      </c>
      <c r="F444" s="4">
        <v>373</v>
      </c>
      <c r="G444" s="4">
        <v>240000</v>
      </c>
      <c r="H444" s="4">
        <v>0.28000000000000003</v>
      </c>
      <c r="I444" s="4">
        <v>307200</v>
      </c>
      <c r="J444" s="4">
        <v>7346</v>
      </c>
      <c r="K444" s="4">
        <v>2256691200</v>
      </c>
    </row>
    <row r="445" spans="1:11" x14ac:dyDescent="0.3">
      <c r="A445" s="1">
        <v>45352</v>
      </c>
      <c r="B445">
        <v>2024</v>
      </c>
      <c r="C445">
        <v>3</v>
      </c>
      <c r="D445" t="s">
        <v>11</v>
      </c>
      <c r="E445" t="s">
        <v>25</v>
      </c>
      <c r="F445">
        <v>373</v>
      </c>
      <c r="G445">
        <v>240000</v>
      </c>
      <c r="H445">
        <v>0.28000000000000003</v>
      </c>
      <c r="I445">
        <v>307200</v>
      </c>
      <c r="J445">
        <v>7434</v>
      </c>
      <c r="K445">
        <v>2283724800</v>
      </c>
    </row>
    <row r="446" spans="1:11" x14ac:dyDescent="0.3">
      <c r="A446" s="8">
        <v>45383</v>
      </c>
      <c r="B446" s="4">
        <v>2024</v>
      </c>
      <c r="C446" s="4">
        <v>4</v>
      </c>
      <c r="D446" s="4" t="s">
        <v>11</v>
      </c>
      <c r="E446" s="4" t="s">
        <v>25</v>
      </c>
      <c r="F446" s="4">
        <v>373</v>
      </c>
      <c r="G446" s="4">
        <v>240000</v>
      </c>
      <c r="H446" s="4">
        <v>0.28000000000000003</v>
      </c>
      <c r="I446" s="4">
        <v>307200</v>
      </c>
      <c r="J446" s="4">
        <v>6450</v>
      </c>
      <c r="K446" s="4">
        <v>1981440000</v>
      </c>
    </row>
    <row r="447" spans="1:11" x14ac:dyDescent="0.3">
      <c r="A447" s="1">
        <v>45413</v>
      </c>
      <c r="B447">
        <v>2024</v>
      </c>
      <c r="C447">
        <v>5</v>
      </c>
      <c r="D447" t="s">
        <v>11</v>
      </c>
      <c r="E447" t="s">
        <v>25</v>
      </c>
      <c r="F447">
        <v>373</v>
      </c>
      <c r="G447">
        <v>240000</v>
      </c>
      <c r="H447">
        <v>0.28000000000000003</v>
      </c>
      <c r="I447">
        <v>307200</v>
      </c>
      <c r="J447">
        <v>7861</v>
      </c>
      <c r="K447">
        <v>2414899200</v>
      </c>
    </row>
    <row r="448" spans="1:11" x14ac:dyDescent="0.3">
      <c r="A448" s="8">
        <v>45444</v>
      </c>
      <c r="B448" s="4">
        <v>2024</v>
      </c>
      <c r="C448" s="4">
        <v>6</v>
      </c>
      <c r="D448" s="4" t="s">
        <v>11</v>
      </c>
      <c r="E448" s="4" t="s">
        <v>25</v>
      </c>
      <c r="F448" s="4">
        <v>373</v>
      </c>
      <c r="G448" s="4">
        <v>240000</v>
      </c>
      <c r="H448" s="4">
        <v>0.28000000000000003</v>
      </c>
      <c r="I448" s="4">
        <v>307200</v>
      </c>
      <c r="J448" s="4">
        <v>5667</v>
      </c>
      <c r="K448" s="4">
        <v>1740902400</v>
      </c>
    </row>
    <row r="449" spans="1:11" x14ac:dyDescent="0.3">
      <c r="A449" s="1">
        <v>45474</v>
      </c>
      <c r="B449">
        <v>2024</v>
      </c>
      <c r="C449">
        <v>7</v>
      </c>
      <c r="D449" t="s">
        <v>11</v>
      </c>
      <c r="E449" t="s">
        <v>25</v>
      </c>
      <c r="F449">
        <v>373</v>
      </c>
      <c r="G449">
        <v>240000</v>
      </c>
      <c r="H449">
        <v>0.28000000000000003</v>
      </c>
      <c r="I449">
        <v>307200</v>
      </c>
      <c r="J449">
        <v>5639</v>
      </c>
      <c r="K449">
        <v>1732300800</v>
      </c>
    </row>
    <row r="450" spans="1:11" x14ac:dyDescent="0.3">
      <c r="A450" s="8">
        <v>45505</v>
      </c>
      <c r="B450" s="4">
        <v>2024</v>
      </c>
      <c r="C450" s="4">
        <v>8</v>
      </c>
      <c r="D450" s="4" t="s">
        <v>11</v>
      </c>
      <c r="E450" s="4" t="s">
        <v>25</v>
      </c>
      <c r="F450" s="4">
        <v>373</v>
      </c>
      <c r="G450" s="4">
        <v>240000</v>
      </c>
      <c r="H450" s="4">
        <v>0.28000000000000003</v>
      </c>
      <c r="I450" s="4">
        <v>307200</v>
      </c>
      <c r="J450" s="4">
        <v>5248</v>
      </c>
      <c r="K450" s="4">
        <v>1612185600</v>
      </c>
    </row>
    <row r="451" spans="1:11" x14ac:dyDescent="0.3">
      <c r="A451" s="1">
        <v>45536</v>
      </c>
      <c r="B451">
        <v>2024</v>
      </c>
      <c r="C451">
        <v>9</v>
      </c>
      <c r="D451" t="s">
        <v>11</v>
      </c>
      <c r="E451" t="s">
        <v>25</v>
      </c>
      <c r="F451">
        <v>373</v>
      </c>
      <c r="G451">
        <v>240000</v>
      </c>
      <c r="H451">
        <v>0.28000000000000003</v>
      </c>
      <c r="I451">
        <v>307200</v>
      </c>
      <c r="J451">
        <v>4922</v>
      </c>
      <c r="K451">
        <v>1512038400</v>
      </c>
    </row>
    <row r="452" spans="1:11" x14ac:dyDescent="0.3">
      <c r="A452" s="8">
        <v>45566</v>
      </c>
      <c r="B452" s="4">
        <v>2024</v>
      </c>
      <c r="C452" s="4">
        <v>10</v>
      </c>
      <c r="D452" s="4" t="s">
        <v>11</v>
      </c>
      <c r="E452" s="4" t="s">
        <v>25</v>
      </c>
      <c r="F452" s="4">
        <v>373</v>
      </c>
      <c r="G452" s="4">
        <v>240000</v>
      </c>
      <c r="H452" s="4">
        <v>0.28000000000000003</v>
      </c>
      <c r="I452" s="4">
        <v>307200</v>
      </c>
      <c r="J452" s="4">
        <v>5229</v>
      </c>
      <c r="K452" s="4">
        <v>1606348800</v>
      </c>
    </row>
    <row r="453" spans="1:11" x14ac:dyDescent="0.3">
      <c r="A453" s="1">
        <v>45597</v>
      </c>
      <c r="B453">
        <v>2024</v>
      </c>
      <c r="C453">
        <v>11</v>
      </c>
      <c r="D453" t="s">
        <v>11</v>
      </c>
      <c r="E453" t="s">
        <v>25</v>
      </c>
      <c r="F453">
        <v>373</v>
      </c>
      <c r="G453">
        <v>240000</v>
      </c>
      <c r="H453">
        <v>0.28000000000000003</v>
      </c>
      <c r="I453">
        <v>307200</v>
      </c>
      <c r="J453">
        <v>6188</v>
      </c>
      <c r="K453">
        <v>1900953600</v>
      </c>
    </row>
    <row r="454" spans="1:11" x14ac:dyDescent="0.3">
      <c r="A454" s="8">
        <v>45627</v>
      </c>
      <c r="B454" s="4">
        <v>2024</v>
      </c>
      <c r="C454" s="4">
        <v>12</v>
      </c>
      <c r="D454" s="4" t="s">
        <v>11</v>
      </c>
      <c r="E454" s="4" t="s">
        <v>25</v>
      </c>
      <c r="F454" s="4">
        <v>373</v>
      </c>
      <c r="G454" s="4">
        <v>240000</v>
      </c>
      <c r="H454" s="4">
        <v>0.28000000000000003</v>
      </c>
      <c r="I454" s="4">
        <v>307200</v>
      </c>
      <c r="J454" s="4">
        <v>6626</v>
      </c>
      <c r="K454" s="4">
        <v>2035507200</v>
      </c>
    </row>
    <row r="455" spans="1:11" x14ac:dyDescent="0.3">
      <c r="A455" s="1">
        <v>45658</v>
      </c>
      <c r="B455">
        <v>2025</v>
      </c>
      <c r="C455">
        <v>1</v>
      </c>
      <c r="D455" t="s">
        <v>11</v>
      </c>
      <c r="E455" t="s">
        <v>25</v>
      </c>
      <c r="F455">
        <v>373</v>
      </c>
      <c r="G455">
        <v>240000</v>
      </c>
      <c r="H455">
        <v>0.28000000000000003</v>
      </c>
      <c r="I455">
        <v>307200</v>
      </c>
      <c r="J455">
        <v>6005</v>
      </c>
      <c r="K455">
        <v>1844736000</v>
      </c>
    </row>
    <row r="456" spans="1:11" x14ac:dyDescent="0.3">
      <c r="A456" s="8">
        <v>45689</v>
      </c>
      <c r="B456" s="4">
        <v>2025</v>
      </c>
      <c r="C456" s="4">
        <v>2</v>
      </c>
      <c r="D456" s="4" t="s">
        <v>11</v>
      </c>
      <c r="E456" s="4" t="s">
        <v>25</v>
      </c>
      <c r="F456" s="4">
        <v>373</v>
      </c>
      <c r="G456" s="4">
        <v>240000</v>
      </c>
      <c r="H456" s="4">
        <v>0.28000000000000003</v>
      </c>
      <c r="I456" s="4">
        <v>307200</v>
      </c>
      <c r="J456" s="4">
        <v>7073</v>
      </c>
      <c r="K456" s="4">
        <v>2172825600</v>
      </c>
    </row>
    <row r="457" spans="1:11" x14ac:dyDescent="0.3">
      <c r="A457" s="1">
        <v>45717</v>
      </c>
      <c r="B457">
        <v>2025</v>
      </c>
      <c r="C457">
        <v>3</v>
      </c>
      <c r="D457" t="s">
        <v>11</v>
      </c>
      <c r="E457" t="s">
        <v>25</v>
      </c>
      <c r="F457">
        <v>373</v>
      </c>
      <c r="G457">
        <v>240000</v>
      </c>
      <c r="H457">
        <v>0.28000000000000003</v>
      </c>
      <c r="I457">
        <v>307200</v>
      </c>
      <c r="J457">
        <v>6075</v>
      </c>
      <c r="K457">
        <v>1866240000</v>
      </c>
    </row>
    <row r="458" spans="1:11" x14ac:dyDescent="0.3">
      <c r="A458" s="8">
        <v>45748</v>
      </c>
      <c r="B458" s="4">
        <v>2025</v>
      </c>
      <c r="C458" s="4">
        <v>4</v>
      </c>
      <c r="D458" s="4" t="s">
        <v>11</v>
      </c>
      <c r="E458" s="4" t="s">
        <v>25</v>
      </c>
      <c r="F458" s="4">
        <v>373</v>
      </c>
      <c r="G458" s="4">
        <v>240000</v>
      </c>
      <c r="H458" s="4">
        <v>0.28000000000000003</v>
      </c>
      <c r="I458" s="4">
        <v>307200</v>
      </c>
      <c r="J458" s="4">
        <v>7066</v>
      </c>
      <c r="K458" s="4">
        <v>2170675200</v>
      </c>
    </row>
    <row r="459" spans="1:11" x14ac:dyDescent="0.3">
      <c r="A459" s="1">
        <v>45778</v>
      </c>
      <c r="B459">
        <v>2025</v>
      </c>
      <c r="C459">
        <v>5</v>
      </c>
      <c r="D459" t="s">
        <v>11</v>
      </c>
      <c r="E459" t="s">
        <v>25</v>
      </c>
      <c r="F459">
        <v>373</v>
      </c>
      <c r="G459">
        <v>240000</v>
      </c>
      <c r="H459">
        <v>0.28000000000000003</v>
      </c>
      <c r="I459">
        <v>307200</v>
      </c>
      <c r="J459">
        <v>6873</v>
      </c>
      <c r="K459">
        <v>2111385600</v>
      </c>
    </row>
    <row r="460" spans="1:11" x14ac:dyDescent="0.3">
      <c r="A460" s="8">
        <v>45809</v>
      </c>
      <c r="B460" s="4">
        <v>2025</v>
      </c>
      <c r="C460" s="4">
        <v>6</v>
      </c>
      <c r="D460" s="4" t="s">
        <v>11</v>
      </c>
      <c r="E460" s="4" t="s">
        <v>25</v>
      </c>
      <c r="F460" s="4">
        <v>373</v>
      </c>
      <c r="G460" s="4">
        <v>240000</v>
      </c>
      <c r="H460" s="4">
        <v>0.28000000000000003</v>
      </c>
      <c r="I460" s="4">
        <v>307200</v>
      </c>
      <c r="J460" s="4">
        <v>5894</v>
      </c>
      <c r="K460" s="4">
        <v>1810636800</v>
      </c>
    </row>
    <row r="461" spans="1:11" x14ac:dyDescent="0.3">
      <c r="A461" s="1">
        <v>45839</v>
      </c>
      <c r="B461">
        <v>2025</v>
      </c>
      <c r="C461">
        <v>7</v>
      </c>
      <c r="D461" t="s">
        <v>11</v>
      </c>
      <c r="E461" t="s">
        <v>25</v>
      </c>
      <c r="F461">
        <v>373</v>
      </c>
      <c r="G461">
        <v>240000</v>
      </c>
      <c r="H461">
        <v>0.28000000000000003</v>
      </c>
      <c r="I461">
        <v>307200</v>
      </c>
      <c r="J461">
        <v>5363</v>
      </c>
      <c r="K461">
        <v>1647513600</v>
      </c>
    </row>
    <row r="462" spans="1:11" x14ac:dyDescent="0.3">
      <c r="A462" s="8">
        <v>45870</v>
      </c>
      <c r="B462" s="4">
        <v>2025</v>
      </c>
      <c r="C462" s="4">
        <v>8</v>
      </c>
      <c r="D462" s="4" t="s">
        <v>11</v>
      </c>
      <c r="E462" s="4" t="s">
        <v>25</v>
      </c>
      <c r="F462" s="4">
        <v>373</v>
      </c>
      <c r="G462" s="4">
        <v>240000</v>
      </c>
      <c r="H462" s="4">
        <v>0.28000000000000003</v>
      </c>
      <c r="I462" s="4">
        <v>307200</v>
      </c>
      <c r="J462" s="4">
        <v>5380</v>
      </c>
      <c r="K462" s="4">
        <v>1652736000</v>
      </c>
    </row>
    <row r="463" spans="1:11" x14ac:dyDescent="0.3">
      <c r="A463" s="1">
        <v>45901</v>
      </c>
      <c r="B463">
        <v>2025</v>
      </c>
      <c r="C463">
        <v>9</v>
      </c>
      <c r="D463" t="s">
        <v>11</v>
      </c>
      <c r="E463" t="s">
        <v>25</v>
      </c>
      <c r="F463">
        <v>373</v>
      </c>
      <c r="G463">
        <v>240000</v>
      </c>
      <c r="H463">
        <v>0.28000000000000003</v>
      </c>
      <c r="I463">
        <v>307200</v>
      </c>
      <c r="J463">
        <v>5234</v>
      </c>
      <c r="K463">
        <v>1607884800</v>
      </c>
    </row>
    <row r="464" spans="1:11" x14ac:dyDescent="0.3">
      <c r="A464" s="8">
        <v>44927</v>
      </c>
      <c r="B464" s="4">
        <v>2023</v>
      </c>
      <c r="C464" s="4">
        <v>1</v>
      </c>
      <c r="D464" s="4" t="s">
        <v>11</v>
      </c>
      <c r="E464" s="4" t="s">
        <v>26</v>
      </c>
      <c r="F464" s="4">
        <v>373</v>
      </c>
      <c r="G464" s="4">
        <v>245000</v>
      </c>
      <c r="H464" s="4">
        <v>0.28000000000000003</v>
      </c>
      <c r="I464" s="4">
        <v>313600</v>
      </c>
      <c r="J464" s="4">
        <v>5442</v>
      </c>
      <c r="K464" s="4">
        <v>1706611200</v>
      </c>
    </row>
    <row r="465" spans="1:11" x14ac:dyDescent="0.3">
      <c r="A465" s="1">
        <v>44958</v>
      </c>
      <c r="B465">
        <v>2023</v>
      </c>
      <c r="C465">
        <v>2</v>
      </c>
      <c r="D465" t="s">
        <v>11</v>
      </c>
      <c r="E465" t="s">
        <v>26</v>
      </c>
      <c r="F465">
        <v>373</v>
      </c>
      <c r="G465">
        <v>245000</v>
      </c>
      <c r="H465">
        <v>0.28000000000000003</v>
      </c>
      <c r="I465">
        <v>313600</v>
      </c>
      <c r="J465">
        <v>4830</v>
      </c>
      <c r="K465">
        <v>1514688000</v>
      </c>
    </row>
    <row r="466" spans="1:11" x14ac:dyDescent="0.3">
      <c r="A466" s="8">
        <v>44986</v>
      </c>
      <c r="B466" s="4">
        <v>2023</v>
      </c>
      <c r="C466" s="4">
        <v>3</v>
      </c>
      <c r="D466" s="4" t="s">
        <v>11</v>
      </c>
      <c r="E466" s="4" t="s">
        <v>26</v>
      </c>
      <c r="F466" s="4">
        <v>373</v>
      </c>
      <c r="G466" s="4">
        <v>245000</v>
      </c>
      <c r="H466" s="4">
        <v>0.28000000000000003</v>
      </c>
      <c r="I466" s="4">
        <v>313600</v>
      </c>
      <c r="J466" s="4">
        <v>5438</v>
      </c>
      <c r="K466" s="4">
        <v>1705356800</v>
      </c>
    </row>
    <row r="467" spans="1:11" x14ac:dyDescent="0.3">
      <c r="A467" s="1">
        <v>45017</v>
      </c>
      <c r="B467">
        <v>2023</v>
      </c>
      <c r="C467">
        <v>4</v>
      </c>
      <c r="D467" t="s">
        <v>11</v>
      </c>
      <c r="E467" t="s">
        <v>26</v>
      </c>
      <c r="F467">
        <v>373</v>
      </c>
      <c r="G467">
        <v>245000</v>
      </c>
      <c r="H467">
        <v>0.28000000000000003</v>
      </c>
      <c r="I467">
        <v>313600</v>
      </c>
      <c r="J467">
        <v>6019</v>
      </c>
      <c r="K467">
        <v>1887558400</v>
      </c>
    </row>
    <row r="468" spans="1:11" x14ac:dyDescent="0.3">
      <c r="A468" s="8">
        <v>45047</v>
      </c>
      <c r="B468" s="4">
        <v>2023</v>
      </c>
      <c r="C468" s="4">
        <v>5</v>
      </c>
      <c r="D468" s="4" t="s">
        <v>11</v>
      </c>
      <c r="E468" s="4" t="s">
        <v>26</v>
      </c>
      <c r="F468" s="4">
        <v>373</v>
      </c>
      <c r="G468" s="4">
        <v>245000</v>
      </c>
      <c r="H468" s="4">
        <v>0.28000000000000003</v>
      </c>
      <c r="I468" s="4">
        <v>313600</v>
      </c>
      <c r="J468" s="4">
        <v>5787</v>
      </c>
      <c r="K468" s="4">
        <v>1814803200</v>
      </c>
    </row>
    <row r="469" spans="1:11" x14ac:dyDescent="0.3">
      <c r="A469" s="1">
        <v>45078</v>
      </c>
      <c r="B469">
        <v>2023</v>
      </c>
      <c r="C469">
        <v>6</v>
      </c>
      <c r="D469" t="s">
        <v>11</v>
      </c>
      <c r="E469" t="s">
        <v>26</v>
      </c>
      <c r="F469">
        <v>373</v>
      </c>
      <c r="G469">
        <v>245000</v>
      </c>
      <c r="H469">
        <v>0.28000000000000003</v>
      </c>
      <c r="I469">
        <v>313600</v>
      </c>
      <c r="J469">
        <v>5753</v>
      </c>
      <c r="K469">
        <v>1804140800</v>
      </c>
    </row>
    <row r="470" spans="1:11" x14ac:dyDescent="0.3">
      <c r="A470" s="8">
        <v>45108</v>
      </c>
      <c r="B470" s="4">
        <v>2023</v>
      </c>
      <c r="C470" s="4">
        <v>7</v>
      </c>
      <c r="D470" s="4" t="s">
        <v>11</v>
      </c>
      <c r="E470" s="4" t="s">
        <v>26</v>
      </c>
      <c r="F470" s="4">
        <v>373</v>
      </c>
      <c r="G470" s="4">
        <v>245000</v>
      </c>
      <c r="H470" s="4">
        <v>0.28000000000000003</v>
      </c>
      <c r="I470" s="4">
        <v>313600</v>
      </c>
      <c r="J470" s="4">
        <v>4667</v>
      </c>
      <c r="K470" s="4">
        <v>1463571200</v>
      </c>
    </row>
    <row r="471" spans="1:11" x14ac:dyDescent="0.3">
      <c r="A471" s="1">
        <v>45139</v>
      </c>
      <c r="B471">
        <v>2023</v>
      </c>
      <c r="C471">
        <v>8</v>
      </c>
      <c r="D471" t="s">
        <v>11</v>
      </c>
      <c r="E471" t="s">
        <v>26</v>
      </c>
      <c r="F471">
        <v>373</v>
      </c>
      <c r="G471">
        <v>245000</v>
      </c>
      <c r="H471">
        <v>0.28000000000000003</v>
      </c>
      <c r="I471">
        <v>313600</v>
      </c>
      <c r="J471">
        <v>4683</v>
      </c>
      <c r="K471">
        <v>1468588800</v>
      </c>
    </row>
    <row r="472" spans="1:11" x14ac:dyDescent="0.3">
      <c r="A472" s="8">
        <v>45170</v>
      </c>
      <c r="B472" s="4">
        <v>2023</v>
      </c>
      <c r="C472" s="4">
        <v>9</v>
      </c>
      <c r="D472" s="4" t="s">
        <v>11</v>
      </c>
      <c r="E472" s="4" t="s">
        <v>26</v>
      </c>
      <c r="F472" s="4">
        <v>373</v>
      </c>
      <c r="G472" s="4">
        <v>245000</v>
      </c>
      <c r="H472" s="4">
        <v>0.28000000000000003</v>
      </c>
      <c r="I472" s="4">
        <v>313600</v>
      </c>
      <c r="J472" s="4">
        <v>3921</v>
      </c>
      <c r="K472" s="4">
        <v>1229625600</v>
      </c>
    </row>
    <row r="473" spans="1:11" x14ac:dyDescent="0.3">
      <c r="A473" s="1">
        <v>45200</v>
      </c>
      <c r="B473">
        <v>2023</v>
      </c>
      <c r="C473">
        <v>10</v>
      </c>
      <c r="D473" t="s">
        <v>11</v>
      </c>
      <c r="E473" t="s">
        <v>26</v>
      </c>
      <c r="F473">
        <v>373</v>
      </c>
      <c r="G473">
        <v>245000</v>
      </c>
      <c r="H473">
        <v>0.28000000000000003</v>
      </c>
      <c r="I473">
        <v>313600</v>
      </c>
      <c r="J473">
        <v>3742</v>
      </c>
      <c r="K473">
        <v>1173491200</v>
      </c>
    </row>
    <row r="474" spans="1:11" x14ac:dyDescent="0.3">
      <c r="A474" s="8">
        <v>45231</v>
      </c>
      <c r="B474" s="4">
        <v>2023</v>
      </c>
      <c r="C474" s="4">
        <v>11</v>
      </c>
      <c r="D474" s="4" t="s">
        <v>11</v>
      </c>
      <c r="E474" s="4" t="s">
        <v>26</v>
      </c>
      <c r="F474" s="4">
        <v>373</v>
      </c>
      <c r="G474" s="4">
        <v>245000</v>
      </c>
      <c r="H474" s="4">
        <v>0.28000000000000003</v>
      </c>
      <c r="I474" s="4">
        <v>313600</v>
      </c>
      <c r="J474" s="4">
        <v>4076</v>
      </c>
      <c r="K474" s="4">
        <v>1278233600</v>
      </c>
    </row>
    <row r="475" spans="1:11" x14ac:dyDescent="0.3">
      <c r="A475" s="1">
        <v>45261</v>
      </c>
      <c r="B475">
        <v>2023</v>
      </c>
      <c r="C475">
        <v>12</v>
      </c>
      <c r="D475" t="s">
        <v>11</v>
      </c>
      <c r="E475" t="s">
        <v>26</v>
      </c>
      <c r="F475">
        <v>373</v>
      </c>
      <c r="G475">
        <v>245000</v>
      </c>
      <c r="H475">
        <v>0.28000000000000003</v>
      </c>
      <c r="I475">
        <v>313600</v>
      </c>
      <c r="J475">
        <v>5159</v>
      </c>
      <c r="K475">
        <v>1617862400</v>
      </c>
    </row>
    <row r="476" spans="1:11" x14ac:dyDescent="0.3">
      <c r="A476" s="8">
        <v>45292</v>
      </c>
      <c r="B476" s="4">
        <v>2024</v>
      </c>
      <c r="C476" s="4">
        <v>1</v>
      </c>
      <c r="D476" s="4" t="s">
        <v>11</v>
      </c>
      <c r="E476" s="4" t="s">
        <v>26</v>
      </c>
      <c r="F476" s="4">
        <v>373</v>
      </c>
      <c r="G476" s="4">
        <v>245000</v>
      </c>
      <c r="H476" s="4">
        <v>0.28000000000000003</v>
      </c>
      <c r="I476" s="4">
        <v>313600</v>
      </c>
      <c r="J476" s="4">
        <v>6302</v>
      </c>
      <c r="K476" s="4">
        <v>1976307200</v>
      </c>
    </row>
    <row r="477" spans="1:11" x14ac:dyDescent="0.3">
      <c r="A477" s="1">
        <v>45323</v>
      </c>
      <c r="B477">
        <v>2024</v>
      </c>
      <c r="C477">
        <v>2</v>
      </c>
      <c r="D477" t="s">
        <v>11</v>
      </c>
      <c r="E477" t="s">
        <v>26</v>
      </c>
      <c r="F477">
        <v>373</v>
      </c>
      <c r="G477">
        <v>245000</v>
      </c>
      <c r="H477">
        <v>0.28000000000000003</v>
      </c>
      <c r="I477">
        <v>313600</v>
      </c>
      <c r="J477">
        <v>5340</v>
      </c>
      <c r="K477">
        <v>1674624000</v>
      </c>
    </row>
    <row r="478" spans="1:11" x14ac:dyDescent="0.3">
      <c r="A478" s="8">
        <v>45352</v>
      </c>
      <c r="B478" s="4">
        <v>2024</v>
      </c>
      <c r="C478" s="4">
        <v>3</v>
      </c>
      <c r="D478" s="4" t="s">
        <v>11</v>
      </c>
      <c r="E478" s="4" t="s">
        <v>26</v>
      </c>
      <c r="F478" s="4">
        <v>373</v>
      </c>
      <c r="G478" s="4">
        <v>245000</v>
      </c>
      <c r="H478" s="4">
        <v>0.28000000000000003</v>
      </c>
      <c r="I478" s="4">
        <v>313600</v>
      </c>
      <c r="J478" s="4">
        <v>6064</v>
      </c>
      <c r="K478" s="4">
        <v>1901670400</v>
      </c>
    </row>
    <row r="479" spans="1:11" x14ac:dyDescent="0.3">
      <c r="A479" s="1">
        <v>45383</v>
      </c>
      <c r="B479">
        <v>2024</v>
      </c>
      <c r="C479">
        <v>4</v>
      </c>
      <c r="D479" t="s">
        <v>11</v>
      </c>
      <c r="E479" t="s">
        <v>26</v>
      </c>
      <c r="F479">
        <v>373</v>
      </c>
      <c r="G479">
        <v>245000</v>
      </c>
      <c r="H479">
        <v>0.28000000000000003</v>
      </c>
      <c r="I479">
        <v>313600</v>
      </c>
      <c r="J479">
        <v>5702</v>
      </c>
      <c r="K479">
        <v>1788147200</v>
      </c>
    </row>
    <row r="480" spans="1:11" x14ac:dyDescent="0.3">
      <c r="A480" s="8">
        <v>45413</v>
      </c>
      <c r="B480" s="4">
        <v>2024</v>
      </c>
      <c r="C480" s="4">
        <v>5</v>
      </c>
      <c r="D480" s="4" t="s">
        <v>11</v>
      </c>
      <c r="E480" s="4" t="s">
        <v>26</v>
      </c>
      <c r="F480" s="4">
        <v>373</v>
      </c>
      <c r="G480" s="4">
        <v>245000</v>
      </c>
      <c r="H480" s="4">
        <v>0.28000000000000003</v>
      </c>
      <c r="I480" s="4">
        <v>313600</v>
      </c>
      <c r="J480" s="4">
        <v>5186</v>
      </c>
      <c r="K480" s="4">
        <v>1626329600</v>
      </c>
    </row>
    <row r="481" spans="1:11" x14ac:dyDescent="0.3">
      <c r="A481" s="1">
        <v>45444</v>
      </c>
      <c r="B481">
        <v>2024</v>
      </c>
      <c r="C481">
        <v>6</v>
      </c>
      <c r="D481" t="s">
        <v>11</v>
      </c>
      <c r="E481" t="s">
        <v>26</v>
      </c>
      <c r="F481">
        <v>373</v>
      </c>
      <c r="G481">
        <v>245000</v>
      </c>
      <c r="H481">
        <v>0.28000000000000003</v>
      </c>
      <c r="I481">
        <v>313600</v>
      </c>
      <c r="J481">
        <v>4841</v>
      </c>
      <c r="K481">
        <v>1518137600</v>
      </c>
    </row>
    <row r="482" spans="1:11" x14ac:dyDescent="0.3">
      <c r="A482" s="8">
        <v>45474</v>
      </c>
      <c r="B482" s="4">
        <v>2024</v>
      </c>
      <c r="C482" s="4">
        <v>7</v>
      </c>
      <c r="D482" s="4" t="s">
        <v>11</v>
      </c>
      <c r="E482" s="4" t="s">
        <v>26</v>
      </c>
      <c r="F482" s="4">
        <v>373</v>
      </c>
      <c r="G482" s="4">
        <v>245000</v>
      </c>
      <c r="H482" s="4">
        <v>0.28000000000000003</v>
      </c>
      <c r="I482" s="4">
        <v>313600</v>
      </c>
      <c r="J482" s="4">
        <v>4198</v>
      </c>
      <c r="K482" s="4">
        <v>1316492800</v>
      </c>
    </row>
    <row r="483" spans="1:11" x14ac:dyDescent="0.3">
      <c r="A483" s="1">
        <v>45505</v>
      </c>
      <c r="B483">
        <v>2024</v>
      </c>
      <c r="C483">
        <v>8</v>
      </c>
      <c r="D483" t="s">
        <v>11</v>
      </c>
      <c r="E483" t="s">
        <v>26</v>
      </c>
      <c r="F483">
        <v>373</v>
      </c>
      <c r="G483">
        <v>245000</v>
      </c>
      <c r="H483">
        <v>0.28000000000000003</v>
      </c>
      <c r="I483">
        <v>313600</v>
      </c>
      <c r="J483">
        <v>4114</v>
      </c>
      <c r="K483">
        <v>1290150400</v>
      </c>
    </row>
    <row r="484" spans="1:11" x14ac:dyDescent="0.3">
      <c r="A484" s="8">
        <v>45536</v>
      </c>
      <c r="B484" s="4">
        <v>2024</v>
      </c>
      <c r="C484" s="4">
        <v>9</v>
      </c>
      <c r="D484" s="4" t="s">
        <v>11</v>
      </c>
      <c r="E484" s="4" t="s">
        <v>26</v>
      </c>
      <c r="F484" s="4">
        <v>373</v>
      </c>
      <c r="G484" s="4">
        <v>245000</v>
      </c>
      <c r="H484" s="4">
        <v>0.28000000000000003</v>
      </c>
      <c r="I484" s="4">
        <v>313600</v>
      </c>
      <c r="J484" s="4">
        <v>4022</v>
      </c>
      <c r="K484" s="4">
        <v>1261299200</v>
      </c>
    </row>
    <row r="485" spans="1:11" x14ac:dyDescent="0.3">
      <c r="A485" s="1">
        <v>45566</v>
      </c>
      <c r="B485">
        <v>2024</v>
      </c>
      <c r="C485">
        <v>10</v>
      </c>
      <c r="D485" t="s">
        <v>11</v>
      </c>
      <c r="E485" t="s">
        <v>26</v>
      </c>
      <c r="F485">
        <v>373</v>
      </c>
      <c r="G485">
        <v>245000</v>
      </c>
      <c r="H485">
        <v>0.28000000000000003</v>
      </c>
      <c r="I485">
        <v>313600</v>
      </c>
      <c r="J485">
        <v>4292</v>
      </c>
      <c r="K485">
        <v>1345971200</v>
      </c>
    </row>
    <row r="486" spans="1:11" x14ac:dyDescent="0.3">
      <c r="A486" s="8">
        <v>45597</v>
      </c>
      <c r="B486" s="4">
        <v>2024</v>
      </c>
      <c r="C486" s="4">
        <v>11</v>
      </c>
      <c r="D486" s="4" t="s">
        <v>11</v>
      </c>
      <c r="E486" s="4" t="s">
        <v>26</v>
      </c>
      <c r="F486" s="4">
        <v>373</v>
      </c>
      <c r="G486" s="4">
        <v>245000</v>
      </c>
      <c r="H486" s="4">
        <v>0.28000000000000003</v>
      </c>
      <c r="I486" s="4">
        <v>313600</v>
      </c>
      <c r="J486" s="4">
        <v>4333</v>
      </c>
      <c r="K486" s="4">
        <v>1358828800</v>
      </c>
    </row>
    <row r="487" spans="1:11" x14ac:dyDescent="0.3">
      <c r="A487" s="1">
        <v>45627</v>
      </c>
      <c r="B487">
        <v>2024</v>
      </c>
      <c r="C487">
        <v>12</v>
      </c>
      <c r="D487" t="s">
        <v>11</v>
      </c>
      <c r="E487" t="s">
        <v>26</v>
      </c>
      <c r="F487">
        <v>373</v>
      </c>
      <c r="G487">
        <v>245000</v>
      </c>
      <c r="H487">
        <v>0.28000000000000003</v>
      </c>
      <c r="I487">
        <v>313600</v>
      </c>
      <c r="J487">
        <v>4666</v>
      </c>
      <c r="K487">
        <v>1463257600</v>
      </c>
    </row>
    <row r="488" spans="1:11" x14ac:dyDescent="0.3">
      <c r="A488" s="8">
        <v>45658</v>
      </c>
      <c r="B488" s="4">
        <v>2025</v>
      </c>
      <c r="C488" s="4">
        <v>1</v>
      </c>
      <c r="D488" s="4" t="s">
        <v>11</v>
      </c>
      <c r="E488" s="4" t="s">
        <v>26</v>
      </c>
      <c r="F488" s="4">
        <v>373</v>
      </c>
      <c r="G488" s="4">
        <v>245000</v>
      </c>
      <c r="H488" s="4">
        <v>0.28000000000000003</v>
      </c>
      <c r="I488" s="4">
        <v>313600</v>
      </c>
      <c r="J488" s="4">
        <v>5257</v>
      </c>
      <c r="K488" s="4">
        <v>1648595200</v>
      </c>
    </row>
    <row r="489" spans="1:11" x14ac:dyDescent="0.3">
      <c r="A489" s="1">
        <v>45689</v>
      </c>
      <c r="B489">
        <v>2025</v>
      </c>
      <c r="C489">
        <v>2</v>
      </c>
      <c r="D489" t="s">
        <v>11</v>
      </c>
      <c r="E489" t="s">
        <v>26</v>
      </c>
      <c r="F489">
        <v>373</v>
      </c>
      <c r="G489">
        <v>245000</v>
      </c>
      <c r="H489">
        <v>0.28000000000000003</v>
      </c>
      <c r="I489">
        <v>313600</v>
      </c>
      <c r="J489">
        <v>5592</v>
      </c>
      <c r="K489">
        <v>1753651200</v>
      </c>
    </row>
    <row r="490" spans="1:11" x14ac:dyDescent="0.3">
      <c r="A490" s="8">
        <v>45717</v>
      </c>
      <c r="B490" s="4">
        <v>2025</v>
      </c>
      <c r="C490" s="4">
        <v>3</v>
      </c>
      <c r="D490" s="4" t="s">
        <v>11</v>
      </c>
      <c r="E490" s="4" t="s">
        <v>26</v>
      </c>
      <c r="F490" s="4">
        <v>373</v>
      </c>
      <c r="G490" s="4">
        <v>245000</v>
      </c>
      <c r="H490" s="4">
        <v>0.28000000000000003</v>
      </c>
      <c r="I490" s="4">
        <v>313600</v>
      </c>
      <c r="J490" s="4">
        <v>5709</v>
      </c>
      <c r="K490" s="4">
        <v>1790342400</v>
      </c>
    </row>
    <row r="491" spans="1:11" x14ac:dyDescent="0.3">
      <c r="A491" s="1">
        <v>45748</v>
      </c>
      <c r="B491">
        <v>2025</v>
      </c>
      <c r="C491">
        <v>4</v>
      </c>
      <c r="D491" t="s">
        <v>11</v>
      </c>
      <c r="E491" t="s">
        <v>26</v>
      </c>
      <c r="F491">
        <v>373</v>
      </c>
      <c r="G491">
        <v>245000</v>
      </c>
      <c r="H491">
        <v>0.28000000000000003</v>
      </c>
      <c r="I491">
        <v>313600</v>
      </c>
      <c r="J491">
        <v>5427</v>
      </c>
      <c r="K491">
        <v>1701907200</v>
      </c>
    </row>
    <row r="492" spans="1:11" x14ac:dyDescent="0.3">
      <c r="A492" s="8">
        <v>45778</v>
      </c>
      <c r="B492" s="4">
        <v>2025</v>
      </c>
      <c r="C492" s="4">
        <v>5</v>
      </c>
      <c r="D492" s="4" t="s">
        <v>11</v>
      </c>
      <c r="E492" s="4" t="s">
        <v>26</v>
      </c>
      <c r="F492" s="4">
        <v>373</v>
      </c>
      <c r="G492" s="4">
        <v>245000</v>
      </c>
      <c r="H492" s="4">
        <v>0.28000000000000003</v>
      </c>
      <c r="I492" s="4">
        <v>313600</v>
      </c>
      <c r="J492" s="4">
        <v>5298</v>
      </c>
      <c r="K492" s="4">
        <v>1661452800</v>
      </c>
    </row>
    <row r="493" spans="1:11" x14ac:dyDescent="0.3">
      <c r="A493" s="1">
        <v>45809</v>
      </c>
      <c r="B493">
        <v>2025</v>
      </c>
      <c r="C493">
        <v>6</v>
      </c>
      <c r="D493" t="s">
        <v>11</v>
      </c>
      <c r="E493" t="s">
        <v>26</v>
      </c>
      <c r="F493">
        <v>373</v>
      </c>
      <c r="G493">
        <v>245000</v>
      </c>
      <c r="H493">
        <v>0.28000000000000003</v>
      </c>
      <c r="I493">
        <v>313600</v>
      </c>
      <c r="J493">
        <v>4807</v>
      </c>
      <c r="K493">
        <v>1507475200</v>
      </c>
    </row>
    <row r="494" spans="1:11" x14ac:dyDescent="0.3">
      <c r="A494" s="8">
        <v>45839</v>
      </c>
      <c r="B494" s="4">
        <v>2025</v>
      </c>
      <c r="C494" s="4">
        <v>7</v>
      </c>
      <c r="D494" s="4" t="s">
        <v>11</v>
      </c>
      <c r="E494" s="4" t="s">
        <v>26</v>
      </c>
      <c r="F494" s="4">
        <v>373</v>
      </c>
      <c r="G494" s="4">
        <v>245000</v>
      </c>
      <c r="H494" s="4">
        <v>0.28000000000000003</v>
      </c>
      <c r="I494" s="4">
        <v>313600</v>
      </c>
      <c r="J494" s="4">
        <v>4041</v>
      </c>
      <c r="K494" s="4">
        <v>1267257600</v>
      </c>
    </row>
    <row r="495" spans="1:11" x14ac:dyDescent="0.3">
      <c r="A495" s="1">
        <v>45870</v>
      </c>
      <c r="B495">
        <v>2025</v>
      </c>
      <c r="C495">
        <v>8</v>
      </c>
      <c r="D495" t="s">
        <v>11</v>
      </c>
      <c r="E495" t="s">
        <v>26</v>
      </c>
      <c r="F495">
        <v>373</v>
      </c>
      <c r="G495">
        <v>245000</v>
      </c>
      <c r="H495">
        <v>0.28000000000000003</v>
      </c>
      <c r="I495">
        <v>313600</v>
      </c>
      <c r="J495">
        <v>4507</v>
      </c>
      <c r="K495">
        <v>1413395200</v>
      </c>
    </row>
    <row r="496" spans="1:11" x14ac:dyDescent="0.3">
      <c r="A496" s="8">
        <v>45901</v>
      </c>
      <c r="B496" s="4">
        <v>2025</v>
      </c>
      <c r="C496" s="4">
        <v>9</v>
      </c>
      <c r="D496" s="4" t="s">
        <v>11</v>
      </c>
      <c r="E496" s="4" t="s">
        <v>26</v>
      </c>
      <c r="F496" s="4">
        <v>373</v>
      </c>
      <c r="G496" s="4">
        <v>245000</v>
      </c>
      <c r="H496" s="4">
        <v>0.28000000000000003</v>
      </c>
      <c r="I496" s="4">
        <v>313600</v>
      </c>
      <c r="J496" s="4">
        <v>5126</v>
      </c>
      <c r="K496" s="4">
        <v>1607513600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7CF08-1EFA-43C9-B030-B80E5FFA0099}">
  <dimension ref="A1:V992"/>
  <sheetViews>
    <sheetView zoomScale="104" zoomScaleNormal="62" workbookViewId="0">
      <selection activeCell="N502" sqref="N502"/>
    </sheetView>
  </sheetViews>
  <sheetFormatPr defaultRowHeight="14.4" x14ac:dyDescent="0.3"/>
  <cols>
    <col min="1" max="1" width="12.21875" style="45" bestFit="1" customWidth="1"/>
    <col min="2" max="2" width="7.6640625" customWidth="1"/>
    <col min="3" max="3" width="9.5546875" customWidth="1"/>
    <col min="4" max="4" width="17" customWidth="1"/>
    <col min="5" max="5" width="16.5546875" bestFit="1" customWidth="1"/>
    <col min="6" max="6" width="13.33203125" customWidth="1"/>
    <col min="7" max="7" width="12.44140625" customWidth="1"/>
    <col min="8" max="8" width="19.21875" customWidth="1"/>
    <col min="9" max="9" width="24.33203125" customWidth="1"/>
    <col min="10" max="10" width="21.6640625" style="2" customWidth="1"/>
    <col min="11" max="11" width="21.88671875" style="2" customWidth="1"/>
    <col min="12" max="12" width="28" customWidth="1"/>
    <col min="13" max="13" width="29" customWidth="1"/>
    <col min="14" max="14" width="15.77734375" customWidth="1"/>
    <col min="15" max="16" width="19.109375" bestFit="1" customWidth="1"/>
    <col min="17" max="17" width="20.21875" customWidth="1"/>
    <col min="18" max="18" width="21.33203125" style="12" bestFit="1" customWidth="1"/>
    <col min="19" max="19" width="25" bestFit="1" customWidth="1"/>
    <col min="20" max="20" width="19" customWidth="1"/>
    <col min="22" max="22" width="13.88671875" customWidth="1"/>
  </cols>
  <sheetData>
    <row r="1" spans="1:22" x14ac:dyDescent="0.3">
      <c r="A1" s="43" t="s">
        <v>0</v>
      </c>
      <c r="B1" s="13" t="s">
        <v>1</v>
      </c>
      <c r="C1" s="13" t="s">
        <v>2</v>
      </c>
      <c r="D1" s="13" t="s">
        <v>3</v>
      </c>
      <c r="E1" s="13" t="s">
        <v>4</v>
      </c>
      <c r="F1" s="13" t="s">
        <v>5</v>
      </c>
      <c r="G1" s="13" t="s">
        <v>31</v>
      </c>
      <c r="H1" s="27" t="s">
        <v>57</v>
      </c>
      <c r="I1" s="14" t="s">
        <v>6</v>
      </c>
      <c r="J1" s="15" t="s">
        <v>27</v>
      </c>
      <c r="K1" s="15" t="s">
        <v>28</v>
      </c>
      <c r="L1" s="16" t="s">
        <v>29</v>
      </c>
      <c r="M1" s="16" t="s">
        <v>30</v>
      </c>
      <c r="N1" s="13" t="s">
        <v>32</v>
      </c>
      <c r="O1" s="13" t="s">
        <v>55</v>
      </c>
      <c r="P1" s="13" t="s">
        <v>56</v>
      </c>
      <c r="Q1" s="13" t="s">
        <v>39</v>
      </c>
      <c r="R1" s="17" t="s">
        <v>38</v>
      </c>
      <c r="S1" t="s">
        <v>54</v>
      </c>
      <c r="T1" s="27" t="s">
        <v>66</v>
      </c>
    </row>
    <row r="2" spans="1:22" x14ac:dyDescent="0.3">
      <c r="A2" s="44">
        <v>44927</v>
      </c>
      <c r="B2" s="18">
        <v>2023</v>
      </c>
      <c r="C2" s="18" t="str">
        <f>TEXT(A2,"mmm")</f>
        <v>Jan</v>
      </c>
      <c r="D2" s="18" t="s">
        <v>11</v>
      </c>
      <c r="E2" s="18" t="s">
        <v>12</v>
      </c>
      <c r="F2" s="18">
        <v>102</v>
      </c>
      <c r="G2" s="18" t="s">
        <v>33</v>
      </c>
      <c r="H2" t="s">
        <v>58</v>
      </c>
      <c r="I2" s="19">
        <v>65000</v>
      </c>
      <c r="J2" s="20">
        <v>0.28000000000000003</v>
      </c>
      <c r="K2" s="20">
        <v>0.18</v>
      </c>
      <c r="L2" s="19">
        <v>83200</v>
      </c>
      <c r="M2" s="19">
        <f>I2+I2*K2</f>
        <v>76700</v>
      </c>
      <c r="N2" s="19">
        <v>-6500</v>
      </c>
      <c r="O2" s="19">
        <v>8713619200</v>
      </c>
      <c r="P2" s="19">
        <v>9237797855</v>
      </c>
      <c r="Q2" s="18">
        <v>104731</v>
      </c>
      <c r="R2" s="21">
        <v>120440.65</v>
      </c>
      <c r="S2" s="12">
        <v>15709.649999999994</v>
      </c>
      <c r="T2" s="3">
        <f>P2-O2</f>
        <v>524178655</v>
      </c>
      <c r="V2" s="53">
        <f>SUM(Q:Q)</f>
        <v>19352453</v>
      </c>
    </row>
    <row r="3" spans="1:22" x14ac:dyDescent="0.3">
      <c r="A3" s="45">
        <v>44958</v>
      </c>
      <c r="B3">
        <v>2023</v>
      </c>
      <c r="C3" s="18" t="str">
        <f t="shared" ref="C3:C66" si="0">TEXT(A3,"mmm")</f>
        <v>Feb</v>
      </c>
      <c r="D3" t="s">
        <v>11</v>
      </c>
      <c r="E3" t="s">
        <v>12</v>
      </c>
      <c r="F3">
        <v>102</v>
      </c>
      <c r="G3" t="s">
        <v>33</v>
      </c>
      <c r="H3" t="s">
        <v>58</v>
      </c>
      <c r="I3" s="3">
        <v>65000</v>
      </c>
      <c r="J3" s="2">
        <v>0.28000000000000003</v>
      </c>
      <c r="K3" s="20">
        <v>0.18</v>
      </c>
      <c r="L3" s="19">
        <v>83200</v>
      </c>
      <c r="M3" s="3">
        <v>76700</v>
      </c>
      <c r="N3" s="19">
        <v>-6500</v>
      </c>
      <c r="O3" s="19">
        <v>6999449600</v>
      </c>
      <c r="P3" s="19">
        <v>7420510240</v>
      </c>
      <c r="Q3">
        <v>84128</v>
      </c>
      <c r="R3" s="11">
        <v>96747.199999999997</v>
      </c>
      <c r="S3" s="12">
        <v>12619.199999999997</v>
      </c>
      <c r="T3" s="3">
        <f t="shared" ref="T3:T66" si="1">P3-O3</f>
        <v>421060640</v>
      </c>
      <c r="V3" s="53">
        <f>SUM(R:R)</f>
        <v>21437151.249999996</v>
      </c>
    </row>
    <row r="4" spans="1:22" x14ac:dyDescent="0.3">
      <c r="A4" s="46">
        <v>44986</v>
      </c>
      <c r="B4" s="4">
        <v>2023</v>
      </c>
      <c r="C4" s="18" t="str">
        <f t="shared" si="0"/>
        <v>Mar</v>
      </c>
      <c r="D4" s="4" t="s">
        <v>11</v>
      </c>
      <c r="E4" s="4" t="s">
        <v>12</v>
      </c>
      <c r="F4" s="4">
        <v>102</v>
      </c>
      <c r="G4" s="4" t="s">
        <v>33</v>
      </c>
      <c r="H4" t="s">
        <v>58</v>
      </c>
      <c r="I4" s="6">
        <v>65000</v>
      </c>
      <c r="J4" s="7">
        <v>0.28000000000000003</v>
      </c>
      <c r="K4" s="20">
        <v>0.18</v>
      </c>
      <c r="L4" s="19">
        <v>83200</v>
      </c>
      <c r="M4" s="6">
        <v>76700</v>
      </c>
      <c r="N4" s="19">
        <v>-6500</v>
      </c>
      <c r="O4" s="19">
        <v>8298534400</v>
      </c>
      <c r="P4" s="19">
        <v>8797743110</v>
      </c>
      <c r="Q4" s="4">
        <v>99742</v>
      </c>
      <c r="R4" s="11">
        <v>114703.29999999999</v>
      </c>
      <c r="S4" s="12">
        <v>14961.299999999988</v>
      </c>
      <c r="T4" s="3">
        <f t="shared" si="1"/>
        <v>499208710</v>
      </c>
    </row>
    <row r="5" spans="1:22" x14ac:dyDescent="0.3">
      <c r="A5" s="45">
        <v>45017</v>
      </c>
      <c r="B5">
        <v>2023</v>
      </c>
      <c r="C5" s="18" t="str">
        <f t="shared" si="0"/>
        <v>Apr</v>
      </c>
      <c r="D5" t="s">
        <v>11</v>
      </c>
      <c r="E5" t="s">
        <v>12</v>
      </c>
      <c r="F5">
        <v>102</v>
      </c>
      <c r="G5" t="s">
        <v>33</v>
      </c>
      <c r="H5" t="s">
        <v>58</v>
      </c>
      <c r="I5" s="3">
        <v>65000</v>
      </c>
      <c r="J5" s="2">
        <v>0.28000000000000003</v>
      </c>
      <c r="K5" s="20">
        <v>0.18</v>
      </c>
      <c r="L5" s="19">
        <v>83200</v>
      </c>
      <c r="M5" s="3">
        <v>76700</v>
      </c>
      <c r="N5" s="19">
        <v>-6500</v>
      </c>
      <c r="O5" s="19">
        <v>9394694400</v>
      </c>
      <c r="P5" s="19">
        <v>9959843985</v>
      </c>
      <c r="Q5">
        <v>112917</v>
      </c>
      <c r="R5" s="11">
        <v>129854.54999999999</v>
      </c>
      <c r="S5" s="12">
        <v>16937.549999999988</v>
      </c>
      <c r="T5" s="3">
        <f t="shared" si="1"/>
        <v>565149585</v>
      </c>
    </row>
    <row r="6" spans="1:22" x14ac:dyDescent="0.3">
      <c r="A6" s="46">
        <v>45047</v>
      </c>
      <c r="B6" s="4">
        <v>2023</v>
      </c>
      <c r="C6" s="18" t="str">
        <f t="shared" si="0"/>
        <v>May</v>
      </c>
      <c r="D6" s="4" t="s">
        <v>11</v>
      </c>
      <c r="E6" s="4" t="s">
        <v>12</v>
      </c>
      <c r="F6" s="4">
        <v>102</v>
      </c>
      <c r="G6" s="4" t="s">
        <v>33</v>
      </c>
      <c r="H6" t="s">
        <v>58</v>
      </c>
      <c r="I6" s="6">
        <v>65000</v>
      </c>
      <c r="J6" s="7">
        <v>0.28000000000000003</v>
      </c>
      <c r="K6" s="20">
        <v>0.18</v>
      </c>
      <c r="L6" s="19">
        <v>83200</v>
      </c>
      <c r="M6" s="6">
        <v>76700</v>
      </c>
      <c r="N6" s="19">
        <v>-6500</v>
      </c>
      <c r="O6" s="19">
        <v>8410438400</v>
      </c>
      <c r="P6" s="19">
        <v>8916378835</v>
      </c>
      <c r="Q6" s="4">
        <v>101087</v>
      </c>
      <c r="R6" s="11">
        <v>116250.04999999999</v>
      </c>
      <c r="S6" s="12">
        <v>15163.049999999988</v>
      </c>
      <c r="T6" s="3">
        <f t="shared" si="1"/>
        <v>505940435</v>
      </c>
    </row>
    <row r="7" spans="1:22" x14ac:dyDescent="0.3">
      <c r="A7" s="45">
        <v>45078</v>
      </c>
      <c r="B7">
        <v>2023</v>
      </c>
      <c r="C7" s="18" t="str">
        <f t="shared" si="0"/>
        <v>Jun</v>
      </c>
      <c r="D7" t="s">
        <v>11</v>
      </c>
      <c r="E7" t="s">
        <v>12</v>
      </c>
      <c r="F7">
        <v>102</v>
      </c>
      <c r="G7" t="s">
        <v>33</v>
      </c>
      <c r="H7" t="s">
        <v>58</v>
      </c>
      <c r="I7" s="3">
        <v>65000</v>
      </c>
      <c r="J7" s="2">
        <v>0.28000000000000003</v>
      </c>
      <c r="K7" s="20">
        <v>0.18</v>
      </c>
      <c r="L7" s="19">
        <v>83200</v>
      </c>
      <c r="M7" s="3">
        <v>76700</v>
      </c>
      <c r="N7" s="19">
        <v>-6500</v>
      </c>
      <c r="O7" s="19">
        <v>8232473600</v>
      </c>
      <c r="P7" s="19">
        <v>8727708340</v>
      </c>
      <c r="Q7">
        <v>98948</v>
      </c>
      <c r="R7" s="11">
        <v>113790.2</v>
      </c>
      <c r="S7" s="12">
        <v>14842.199999999997</v>
      </c>
      <c r="T7" s="3">
        <f t="shared" si="1"/>
        <v>495234740</v>
      </c>
    </row>
    <row r="8" spans="1:22" x14ac:dyDescent="0.3">
      <c r="A8" s="46">
        <v>45108</v>
      </c>
      <c r="B8" s="4">
        <v>2023</v>
      </c>
      <c r="C8" s="18" t="str">
        <f t="shared" si="0"/>
        <v>Jul</v>
      </c>
      <c r="D8" s="4" t="s">
        <v>11</v>
      </c>
      <c r="E8" s="4" t="s">
        <v>12</v>
      </c>
      <c r="F8" s="4">
        <v>102</v>
      </c>
      <c r="G8" s="4" t="s">
        <v>33</v>
      </c>
      <c r="H8" t="s">
        <v>58</v>
      </c>
      <c r="I8" s="6">
        <v>65000</v>
      </c>
      <c r="J8" s="7">
        <v>0.28000000000000003</v>
      </c>
      <c r="K8" s="20">
        <v>0.18</v>
      </c>
      <c r="L8" s="19">
        <v>83200</v>
      </c>
      <c r="M8" s="6">
        <v>76700</v>
      </c>
      <c r="N8" s="19">
        <v>-6500</v>
      </c>
      <c r="O8" s="19">
        <v>7774540800</v>
      </c>
      <c r="P8" s="19">
        <v>8242228019.999999</v>
      </c>
      <c r="Q8" s="4">
        <v>93444</v>
      </c>
      <c r="R8" s="11">
        <v>107460.59999999999</v>
      </c>
      <c r="S8" s="12">
        <v>14016.599999999991</v>
      </c>
      <c r="T8" s="3">
        <f t="shared" si="1"/>
        <v>467687219.99999905</v>
      </c>
    </row>
    <row r="9" spans="1:22" x14ac:dyDescent="0.3">
      <c r="A9" s="45">
        <v>45139</v>
      </c>
      <c r="B9">
        <v>2023</v>
      </c>
      <c r="C9" s="18" t="str">
        <f t="shared" si="0"/>
        <v>Aug</v>
      </c>
      <c r="D9" t="s">
        <v>11</v>
      </c>
      <c r="E9" t="s">
        <v>12</v>
      </c>
      <c r="F9">
        <v>102</v>
      </c>
      <c r="G9" t="s">
        <v>33</v>
      </c>
      <c r="H9" t="s">
        <v>58</v>
      </c>
      <c r="I9" s="3">
        <v>65000</v>
      </c>
      <c r="J9" s="2">
        <v>0.28000000000000003</v>
      </c>
      <c r="K9" s="20">
        <v>0.18</v>
      </c>
      <c r="L9" s="19">
        <v>83200</v>
      </c>
      <c r="M9" s="3">
        <v>76700</v>
      </c>
      <c r="N9" s="19">
        <v>-6500</v>
      </c>
      <c r="O9" s="19">
        <v>6396083200</v>
      </c>
      <c r="P9" s="19">
        <v>6780847580</v>
      </c>
      <c r="Q9">
        <v>76876</v>
      </c>
      <c r="R9" s="11">
        <v>88407.4</v>
      </c>
      <c r="S9" s="12">
        <v>11531.399999999994</v>
      </c>
      <c r="T9" s="3">
        <f t="shared" si="1"/>
        <v>384764380</v>
      </c>
    </row>
    <row r="10" spans="1:22" x14ac:dyDescent="0.3">
      <c r="A10" s="46">
        <v>45170</v>
      </c>
      <c r="B10" s="4">
        <v>2023</v>
      </c>
      <c r="C10" s="18" t="str">
        <f t="shared" si="0"/>
        <v>Sep</v>
      </c>
      <c r="D10" s="4" t="s">
        <v>11</v>
      </c>
      <c r="E10" s="4" t="s">
        <v>12</v>
      </c>
      <c r="F10" s="4">
        <v>102</v>
      </c>
      <c r="G10" s="4" t="s">
        <v>33</v>
      </c>
      <c r="H10" t="s">
        <v>58</v>
      </c>
      <c r="I10" s="6">
        <v>65000</v>
      </c>
      <c r="J10" s="7">
        <v>0.28000000000000003</v>
      </c>
      <c r="K10" s="20">
        <v>0.18</v>
      </c>
      <c r="L10" s="19">
        <v>83200</v>
      </c>
      <c r="M10" s="6">
        <v>76700</v>
      </c>
      <c r="N10" s="19">
        <v>-6500</v>
      </c>
      <c r="O10" s="19">
        <v>6806092800</v>
      </c>
      <c r="P10" s="19">
        <v>7215521819.999999</v>
      </c>
      <c r="Q10" s="4">
        <v>81804</v>
      </c>
      <c r="R10" s="11">
        <v>94074.599999999991</v>
      </c>
      <c r="S10" s="12">
        <v>12270.599999999991</v>
      </c>
      <c r="T10" s="3">
        <f t="shared" si="1"/>
        <v>409429019.99999905</v>
      </c>
    </row>
    <row r="11" spans="1:22" x14ac:dyDescent="0.3">
      <c r="A11" s="45">
        <v>45200</v>
      </c>
      <c r="B11">
        <v>2023</v>
      </c>
      <c r="C11" s="18" t="str">
        <f t="shared" si="0"/>
        <v>Oct</v>
      </c>
      <c r="D11" t="s">
        <v>11</v>
      </c>
      <c r="E11" t="s">
        <v>12</v>
      </c>
      <c r="F11">
        <v>102</v>
      </c>
      <c r="G11" t="s">
        <v>33</v>
      </c>
      <c r="H11" t="s">
        <v>58</v>
      </c>
      <c r="I11" s="3">
        <v>65000</v>
      </c>
      <c r="J11" s="2">
        <v>0.28000000000000003</v>
      </c>
      <c r="K11" s="20">
        <v>0.18</v>
      </c>
      <c r="L11" s="19">
        <v>83200</v>
      </c>
      <c r="M11" s="3">
        <v>76700</v>
      </c>
      <c r="N11" s="19">
        <v>-6500</v>
      </c>
      <c r="O11" s="19">
        <v>6043481600</v>
      </c>
      <c r="P11" s="19">
        <v>6407034790</v>
      </c>
      <c r="Q11">
        <v>72638</v>
      </c>
      <c r="R11" s="11">
        <v>83533.7</v>
      </c>
      <c r="S11" s="12">
        <v>10895.699999999997</v>
      </c>
      <c r="T11" s="3">
        <f t="shared" si="1"/>
        <v>363553190</v>
      </c>
    </row>
    <row r="12" spans="1:22" x14ac:dyDescent="0.3">
      <c r="A12" s="46">
        <v>45231</v>
      </c>
      <c r="B12" s="4">
        <v>2023</v>
      </c>
      <c r="C12" s="18" t="str">
        <f t="shared" si="0"/>
        <v>Nov</v>
      </c>
      <c r="D12" s="4" t="s">
        <v>11</v>
      </c>
      <c r="E12" s="4" t="s">
        <v>12</v>
      </c>
      <c r="F12" s="4">
        <v>102</v>
      </c>
      <c r="G12" s="4" t="s">
        <v>33</v>
      </c>
      <c r="H12" t="s">
        <v>58</v>
      </c>
      <c r="I12" s="6">
        <v>65000</v>
      </c>
      <c r="J12" s="7">
        <v>0.28000000000000003</v>
      </c>
      <c r="K12" s="20">
        <v>0.18</v>
      </c>
      <c r="L12" s="19">
        <v>83200</v>
      </c>
      <c r="M12" s="6">
        <v>76700</v>
      </c>
      <c r="N12" s="19">
        <v>-6500</v>
      </c>
      <c r="O12" s="19">
        <v>4267910400</v>
      </c>
      <c r="P12" s="19">
        <v>4524651885</v>
      </c>
      <c r="Q12" s="4">
        <v>51297</v>
      </c>
      <c r="R12" s="11">
        <v>58991.549999999996</v>
      </c>
      <c r="S12" s="12">
        <v>7694.5499999999956</v>
      </c>
      <c r="T12" s="3">
        <f t="shared" si="1"/>
        <v>256741485</v>
      </c>
    </row>
    <row r="13" spans="1:22" x14ac:dyDescent="0.3">
      <c r="A13" s="45">
        <v>45261</v>
      </c>
      <c r="B13">
        <v>2023</v>
      </c>
      <c r="C13" s="18" t="str">
        <f t="shared" si="0"/>
        <v>Dec</v>
      </c>
      <c r="D13" t="s">
        <v>11</v>
      </c>
      <c r="E13" t="s">
        <v>12</v>
      </c>
      <c r="F13">
        <v>102</v>
      </c>
      <c r="G13" t="s">
        <v>33</v>
      </c>
      <c r="H13" t="s">
        <v>58</v>
      </c>
      <c r="I13" s="3">
        <v>65000</v>
      </c>
      <c r="J13" s="2">
        <v>0.28000000000000003</v>
      </c>
      <c r="K13" s="20">
        <v>0.18</v>
      </c>
      <c r="L13" s="19">
        <v>83200</v>
      </c>
      <c r="M13" s="3">
        <v>76700</v>
      </c>
      <c r="N13" s="19">
        <v>-6500</v>
      </c>
      <c r="O13" s="19">
        <v>8112416000</v>
      </c>
      <c r="P13" s="19">
        <v>8600428524.9999981</v>
      </c>
      <c r="Q13">
        <v>97505</v>
      </c>
      <c r="R13" s="11">
        <v>112130.74999999999</v>
      </c>
      <c r="S13" s="12">
        <v>14625.749999999985</v>
      </c>
      <c r="T13" s="3">
        <f t="shared" si="1"/>
        <v>488012524.99999809</v>
      </c>
    </row>
    <row r="14" spans="1:22" x14ac:dyDescent="0.3">
      <c r="A14" s="46">
        <v>45292</v>
      </c>
      <c r="B14" s="4">
        <v>2024</v>
      </c>
      <c r="C14" s="18" t="str">
        <f t="shared" si="0"/>
        <v>Jan</v>
      </c>
      <c r="D14" s="4" t="s">
        <v>11</v>
      </c>
      <c r="E14" s="4" t="s">
        <v>12</v>
      </c>
      <c r="F14" s="4">
        <v>102</v>
      </c>
      <c r="G14" s="4" t="s">
        <v>33</v>
      </c>
      <c r="H14" t="s">
        <v>58</v>
      </c>
      <c r="I14" s="6">
        <v>65000</v>
      </c>
      <c r="J14" s="7">
        <v>0.28000000000000003</v>
      </c>
      <c r="K14" s="20">
        <v>0.18</v>
      </c>
      <c r="L14" s="19">
        <v>83200</v>
      </c>
      <c r="M14" s="6">
        <v>76700</v>
      </c>
      <c r="N14" s="19">
        <v>-6500</v>
      </c>
      <c r="O14" s="19">
        <v>9333126400</v>
      </c>
      <c r="P14" s="19">
        <v>9894572285</v>
      </c>
      <c r="Q14" s="4">
        <v>112177</v>
      </c>
      <c r="R14" s="11">
        <v>129003.54999999999</v>
      </c>
      <c r="S14" s="12">
        <v>16826.549999999988</v>
      </c>
      <c r="T14" s="3">
        <f t="shared" si="1"/>
        <v>561445885</v>
      </c>
    </row>
    <row r="15" spans="1:22" x14ac:dyDescent="0.3">
      <c r="A15" s="45">
        <v>45323</v>
      </c>
      <c r="B15">
        <v>2024</v>
      </c>
      <c r="C15" s="18" t="str">
        <f t="shared" si="0"/>
        <v>Feb</v>
      </c>
      <c r="D15" t="s">
        <v>11</v>
      </c>
      <c r="E15" t="s">
        <v>12</v>
      </c>
      <c r="F15">
        <v>102</v>
      </c>
      <c r="G15" t="s">
        <v>33</v>
      </c>
      <c r="H15" t="s">
        <v>58</v>
      </c>
      <c r="I15" s="3">
        <v>65000</v>
      </c>
      <c r="J15" s="2">
        <v>0.28000000000000003</v>
      </c>
      <c r="K15" s="20">
        <v>0.18</v>
      </c>
      <c r="L15" s="19">
        <v>83200</v>
      </c>
      <c r="M15" s="3">
        <v>76700</v>
      </c>
      <c r="N15" s="19">
        <v>-6500</v>
      </c>
      <c r="O15" s="19">
        <v>8236966400</v>
      </c>
      <c r="P15" s="19">
        <v>8732471410</v>
      </c>
      <c r="Q15">
        <v>99002</v>
      </c>
      <c r="R15" s="11">
        <v>113852.29999999999</v>
      </c>
      <c r="S15" s="12">
        <v>14850.299999999988</v>
      </c>
      <c r="T15" s="3">
        <f t="shared" si="1"/>
        <v>495505010</v>
      </c>
    </row>
    <row r="16" spans="1:22" x14ac:dyDescent="0.3">
      <c r="A16" s="46">
        <v>45352</v>
      </c>
      <c r="B16" s="4">
        <v>2024</v>
      </c>
      <c r="C16" s="18" t="str">
        <f t="shared" si="0"/>
        <v>Mar</v>
      </c>
      <c r="D16" s="4" t="s">
        <v>11</v>
      </c>
      <c r="E16" s="4" t="s">
        <v>12</v>
      </c>
      <c r="F16" s="4">
        <v>102</v>
      </c>
      <c r="G16" s="4" t="s">
        <v>33</v>
      </c>
      <c r="H16" t="s">
        <v>58</v>
      </c>
      <c r="I16" s="6">
        <v>65000</v>
      </c>
      <c r="J16" s="7">
        <v>0.28000000000000003</v>
      </c>
      <c r="K16" s="20">
        <v>0.18</v>
      </c>
      <c r="L16" s="19">
        <v>83200</v>
      </c>
      <c r="M16" s="6">
        <v>76700</v>
      </c>
      <c r="N16" s="19">
        <v>-6500</v>
      </c>
      <c r="O16" s="19">
        <v>9579148800</v>
      </c>
      <c r="P16" s="19">
        <v>10155394469.999998</v>
      </c>
      <c r="Q16" s="4">
        <v>115134</v>
      </c>
      <c r="R16" s="11">
        <v>132404.09999999998</v>
      </c>
      <c r="S16" s="12">
        <v>17270.099999999977</v>
      </c>
      <c r="T16" s="3">
        <f t="shared" si="1"/>
        <v>576245669.99999809</v>
      </c>
    </row>
    <row r="17" spans="1:20" x14ac:dyDescent="0.3">
      <c r="A17" s="45">
        <v>45383</v>
      </c>
      <c r="B17">
        <v>2024</v>
      </c>
      <c r="C17" s="18" t="str">
        <f t="shared" si="0"/>
        <v>Apr</v>
      </c>
      <c r="D17" t="s">
        <v>11</v>
      </c>
      <c r="E17" t="s">
        <v>12</v>
      </c>
      <c r="F17">
        <v>102</v>
      </c>
      <c r="G17" t="s">
        <v>33</v>
      </c>
      <c r="H17" t="s">
        <v>58</v>
      </c>
      <c r="I17" s="3">
        <v>65000</v>
      </c>
      <c r="J17" s="2">
        <v>0.28000000000000003</v>
      </c>
      <c r="K17" s="20">
        <v>0.18</v>
      </c>
      <c r="L17" s="19">
        <v>83200</v>
      </c>
      <c r="M17" s="3">
        <v>76700</v>
      </c>
      <c r="N17" s="19">
        <v>-6500</v>
      </c>
      <c r="O17" s="19">
        <v>7755737600</v>
      </c>
      <c r="P17" s="19">
        <v>8222293690</v>
      </c>
      <c r="Q17">
        <v>93218</v>
      </c>
      <c r="R17" s="11">
        <v>107200.7</v>
      </c>
      <c r="S17" s="12">
        <v>13982.699999999997</v>
      </c>
      <c r="T17" s="3">
        <f t="shared" si="1"/>
        <v>466556090</v>
      </c>
    </row>
    <row r="18" spans="1:20" x14ac:dyDescent="0.3">
      <c r="A18" s="46">
        <v>45413</v>
      </c>
      <c r="B18" s="4">
        <v>2024</v>
      </c>
      <c r="C18" s="18" t="str">
        <f t="shared" si="0"/>
        <v>May</v>
      </c>
      <c r="D18" s="4" t="s">
        <v>11</v>
      </c>
      <c r="E18" s="4" t="s">
        <v>12</v>
      </c>
      <c r="F18" s="4">
        <v>102</v>
      </c>
      <c r="G18" s="4" t="s">
        <v>33</v>
      </c>
      <c r="H18" t="s">
        <v>58</v>
      </c>
      <c r="I18" s="6">
        <v>65000</v>
      </c>
      <c r="J18" s="7">
        <v>0.28000000000000003</v>
      </c>
      <c r="K18" s="20">
        <v>0.18</v>
      </c>
      <c r="L18" s="19">
        <v>83200</v>
      </c>
      <c r="M18" s="6">
        <v>76700</v>
      </c>
      <c r="N18" s="19">
        <v>-6500</v>
      </c>
      <c r="O18" s="19">
        <v>7751660800</v>
      </c>
      <c r="P18" s="19">
        <v>8217971644.999999</v>
      </c>
      <c r="Q18" s="4">
        <v>93169</v>
      </c>
      <c r="R18" s="11">
        <v>107144.34999999999</v>
      </c>
      <c r="S18" s="12">
        <v>13975.349999999991</v>
      </c>
      <c r="T18" s="3">
        <f t="shared" si="1"/>
        <v>466310844.99999905</v>
      </c>
    </row>
    <row r="19" spans="1:20" x14ac:dyDescent="0.3">
      <c r="A19" s="45">
        <v>45444</v>
      </c>
      <c r="B19">
        <v>2024</v>
      </c>
      <c r="C19" s="18" t="str">
        <f t="shared" si="0"/>
        <v>Jun</v>
      </c>
      <c r="D19" t="s">
        <v>11</v>
      </c>
      <c r="E19" t="s">
        <v>12</v>
      </c>
      <c r="F19">
        <v>102</v>
      </c>
      <c r="G19" t="s">
        <v>33</v>
      </c>
      <c r="H19" t="s">
        <v>58</v>
      </c>
      <c r="I19" s="3">
        <v>65000</v>
      </c>
      <c r="J19" s="2">
        <v>0.28000000000000003</v>
      </c>
      <c r="K19" s="20">
        <v>0.18</v>
      </c>
      <c r="L19" s="19">
        <v>83200</v>
      </c>
      <c r="M19" s="3">
        <v>76700</v>
      </c>
      <c r="N19" s="19">
        <v>-6500</v>
      </c>
      <c r="O19" s="19">
        <v>7648243200</v>
      </c>
      <c r="P19" s="19">
        <v>8108332830</v>
      </c>
      <c r="Q19">
        <v>91926</v>
      </c>
      <c r="R19" s="11">
        <v>105714.9</v>
      </c>
      <c r="S19" s="12">
        <v>13788.899999999994</v>
      </c>
      <c r="T19" s="3">
        <f t="shared" si="1"/>
        <v>460089630</v>
      </c>
    </row>
    <row r="20" spans="1:20" x14ac:dyDescent="0.3">
      <c r="A20" s="46">
        <v>45474</v>
      </c>
      <c r="B20" s="4">
        <v>2024</v>
      </c>
      <c r="C20" s="18" t="str">
        <f t="shared" si="0"/>
        <v>Jul</v>
      </c>
      <c r="D20" s="4" t="s">
        <v>11</v>
      </c>
      <c r="E20" s="4" t="s">
        <v>12</v>
      </c>
      <c r="F20" s="4">
        <v>102</v>
      </c>
      <c r="G20" s="4" t="s">
        <v>33</v>
      </c>
      <c r="H20" t="s">
        <v>58</v>
      </c>
      <c r="I20" s="6">
        <v>65000</v>
      </c>
      <c r="J20" s="7">
        <v>0.28000000000000003</v>
      </c>
      <c r="K20" s="20">
        <v>0.18</v>
      </c>
      <c r="L20" s="19">
        <v>83200</v>
      </c>
      <c r="M20" s="6">
        <v>76700</v>
      </c>
      <c r="N20" s="19">
        <v>-6500</v>
      </c>
      <c r="O20" s="19">
        <v>8553292800</v>
      </c>
      <c r="P20" s="19">
        <v>9067826820</v>
      </c>
      <c r="Q20" s="4">
        <v>102804</v>
      </c>
      <c r="R20" s="11">
        <v>118224.59999999999</v>
      </c>
      <c r="S20" s="12">
        <v>15420.599999999991</v>
      </c>
      <c r="T20" s="3">
        <f t="shared" si="1"/>
        <v>514534020</v>
      </c>
    </row>
    <row r="21" spans="1:20" x14ac:dyDescent="0.3">
      <c r="A21" s="45">
        <v>45505</v>
      </c>
      <c r="B21">
        <v>2024</v>
      </c>
      <c r="C21" s="18" t="str">
        <f t="shared" si="0"/>
        <v>Aug</v>
      </c>
      <c r="D21" t="s">
        <v>11</v>
      </c>
      <c r="E21" t="s">
        <v>12</v>
      </c>
      <c r="F21">
        <v>102</v>
      </c>
      <c r="G21" t="s">
        <v>33</v>
      </c>
      <c r="H21" t="s">
        <v>58</v>
      </c>
      <c r="I21" s="3">
        <v>65000</v>
      </c>
      <c r="J21" s="2">
        <v>0.28000000000000003</v>
      </c>
      <c r="K21" s="20">
        <v>0.18</v>
      </c>
      <c r="L21" s="19">
        <v>83200</v>
      </c>
      <c r="M21" s="3">
        <v>76700</v>
      </c>
      <c r="N21" s="19">
        <v>-6500</v>
      </c>
      <c r="O21" s="19">
        <v>7827123200</v>
      </c>
      <c r="P21" s="19">
        <v>8297973580</v>
      </c>
      <c r="Q21">
        <v>94076</v>
      </c>
      <c r="R21" s="11">
        <v>108187.4</v>
      </c>
      <c r="S21" s="12">
        <v>14111.399999999994</v>
      </c>
      <c r="T21" s="3">
        <f t="shared" si="1"/>
        <v>470850380</v>
      </c>
    </row>
    <row r="22" spans="1:20" x14ac:dyDescent="0.3">
      <c r="A22" s="46">
        <v>45536</v>
      </c>
      <c r="B22" s="4">
        <v>2024</v>
      </c>
      <c r="C22" s="18" t="str">
        <f t="shared" si="0"/>
        <v>Sep</v>
      </c>
      <c r="D22" s="4" t="s">
        <v>11</v>
      </c>
      <c r="E22" s="4" t="s">
        <v>12</v>
      </c>
      <c r="F22" s="4">
        <v>102</v>
      </c>
      <c r="G22" s="4" t="s">
        <v>33</v>
      </c>
      <c r="H22" t="s">
        <v>58</v>
      </c>
      <c r="I22" s="6">
        <v>65000</v>
      </c>
      <c r="J22" s="7">
        <v>0.28000000000000003</v>
      </c>
      <c r="K22" s="20">
        <v>0.18</v>
      </c>
      <c r="L22" s="19">
        <v>83200</v>
      </c>
      <c r="M22" s="6">
        <v>76700</v>
      </c>
      <c r="N22" s="19">
        <v>-6500</v>
      </c>
      <c r="O22" s="19">
        <v>6518553600</v>
      </c>
      <c r="P22" s="19">
        <v>6910685340</v>
      </c>
      <c r="Q22" s="4">
        <v>78348</v>
      </c>
      <c r="R22" s="11">
        <v>90100.2</v>
      </c>
      <c r="S22" s="12">
        <v>11752.199999999997</v>
      </c>
      <c r="T22" s="3">
        <f t="shared" si="1"/>
        <v>392131740</v>
      </c>
    </row>
    <row r="23" spans="1:20" x14ac:dyDescent="0.3">
      <c r="A23" s="45">
        <v>45566</v>
      </c>
      <c r="B23">
        <v>2024</v>
      </c>
      <c r="C23" s="18" t="str">
        <f t="shared" si="0"/>
        <v>Oct</v>
      </c>
      <c r="D23" t="s">
        <v>11</v>
      </c>
      <c r="E23" t="s">
        <v>12</v>
      </c>
      <c r="F23">
        <v>102</v>
      </c>
      <c r="G23" t="s">
        <v>33</v>
      </c>
      <c r="H23" t="s">
        <v>58</v>
      </c>
      <c r="I23" s="3">
        <v>65000</v>
      </c>
      <c r="J23" s="2">
        <v>0.28000000000000003</v>
      </c>
      <c r="K23" s="20">
        <v>0.18</v>
      </c>
      <c r="L23" s="19">
        <v>83200</v>
      </c>
      <c r="M23" s="3">
        <v>76700</v>
      </c>
      <c r="N23" s="19">
        <v>-6500</v>
      </c>
      <c r="O23" s="19">
        <v>5841888000</v>
      </c>
      <c r="P23" s="19">
        <v>6193314075</v>
      </c>
      <c r="Q23">
        <v>70215</v>
      </c>
      <c r="R23" s="11">
        <v>80747.25</v>
      </c>
      <c r="S23" s="12">
        <v>10532.25</v>
      </c>
      <c r="T23" s="3">
        <f t="shared" si="1"/>
        <v>351426075</v>
      </c>
    </row>
    <row r="24" spans="1:20" x14ac:dyDescent="0.3">
      <c r="A24" s="46">
        <v>45597</v>
      </c>
      <c r="B24" s="4">
        <v>2024</v>
      </c>
      <c r="C24" s="18" t="str">
        <f t="shared" si="0"/>
        <v>Nov</v>
      </c>
      <c r="D24" s="4" t="s">
        <v>11</v>
      </c>
      <c r="E24" s="4" t="s">
        <v>12</v>
      </c>
      <c r="F24" s="4">
        <v>102</v>
      </c>
      <c r="G24" s="4" t="s">
        <v>33</v>
      </c>
      <c r="H24" t="s">
        <v>58</v>
      </c>
      <c r="I24" s="6">
        <v>65000</v>
      </c>
      <c r="J24" s="7">
        <v>0.28000000000000003</v>
      </c>
      <c r="K24" s="20">
        <v>0.18</v>
      </c>
      <c r="L24" s="19">
        <v>83200</v>
      </c>
      <c r="M24" s="6">
        <v>76700</v>
      </c>
      <c r="N24" s="19">
        <v>-6500</v>
      </c>
      <c r="O24" s="19">
        <v>6781132800</v>
      </c>
      <c r="P24" s="19">
        <v>7189060319.999999</v>
      </c>
      <c r="Q24" s="4">
        <v>81504</v>
      </c>
      <c r="R24" s="11">
        <v>93729.599999999991</v>
      </c>
      <c r="S24" s="12">
        <v>12225.599999999991</v>
      </c>
      <c r="T24" s="3">
        <f t="shared" si="1"/>
        <v>407927519.99999905</v>
      </c>
    </row>
    <row r="25" spans="1:20" x14ac:dyDescent="0.3">
      <c r="A25" s="45">
        <v>45627</v>
      </c>
      <c r="B25">
        <v>2024</v>
      </c>
      <c r="C25" s="18" t="str">
        <f t="shared" si="0"/>
        <v>Dec</v>
      </c>
      <c r="D25" t="s">
        <v>11</v>
      </c>
      <c r="E25" t="s">
        <v>12</v>
      </c>
      <c r="F25">
        <v>102</v>
      </c>
      <c r="G25" t="s">
        <v>33</v>
      </c>
      <c r="H25" t="s">
        <v>58</v>
      </c>
      <c r="I25" s="3">
        <v>65000</v>
      </c>
      <c r="J25" s="2">
        <v>0.28000000000000003</v>
      </c>
      <c r="K25" s="20">
        <v>0.18</v>
      </c>
      <c r="L25" s="19">
        <v>83200</v>
      </c>
      <c r="M25" s="3">
        <v>76700</v>
      </c>
      <c r="N25" s="19">
        <v>-6500</v>
      </c>
      <c r="O25" s="19">
        <v>6816243200</v>
      </c>
      <c r="P25" s="19">
        <v>7226282830</v>
      </c>
      <c r="Q25">
        <v>81926</v>
      </c>
      <c r="R25" s="11">
        <v>94214.9</v>
      </c>
      <c r="S25" s="12">
        <v>12288.899999999994</v>
      </c>
      <c r="T25" s="3">
        <f t="shared" si="1"/>
        <v>410039630</v>
      </c>
    </row>
    <row r="26" spans="1:20" x14ac:dyDescent="0.3">
      <c r="A26" s="46">
        <v>45658</v>
      </c>
      <c r="B26" s="4">
        <v>2025</v>
      </c>
      <c r="C26" s="18" t="str">
        <f t="shared" si="0"/>
        <v>Jan</v>
      </c>
      <c r="D26" s="4" t="s">
        <v>11</v>
      </c>
      <c r="E26" s="4" t="s">
        <v>12</v>
      </c>
      <c r="F26" s="4">
        <v>102</v>
      </c>
      <c r="G26" s="4" t="s">
        <v>33</v>
      </c>
      <c r="H26" t="s">
        <v>58</v>
      </c>
      <c r="I26" s="6">
        <v>65000</v>
      </c>
      <c r="J26" s="7">
        <v>0.28000000000000003</v>
      </c>
      <c r="K26" s="20">
        <v>0.18</v>
      </c>
      <c r="L26" s="19">
        <v>83200</v>
      </c>
      <c r="M26" s="6">
        <v>76700</v>
      </c>
      <c r="N26" s="19">
        <v>-6500</v>
      </c>
      <c r="O26" s="19">
        <v>7825292800</v>
      </c>
      <c r="P26" s="19">
        <v>8296033069.999999</v>
      </c>
      <c r="Q26" s="4">
        <v>94054</v>
      </c>
      <c r="R26" s="11">
        <v>108162.09999999999</v>
      </c>
      <c r="S26" s="12">
        <v>14108.099999999991</v>
      </c>
      <c r="T26" s="3">
        <f t="shared" si="1"/>
        <v>470740269.99999905</v>
      </c>
    </row>
    <row r="27" spans="1:20" x14ac:dyDescent="0.3">
      <c r="A27" s="45">
        <v>45689</v>
      </c>
      <c r="B27">
        <v>2025</v>
      </c>
      <c r="C27" s="18" t="str">
        <f t="shared" si="0"/>
        <v>Feb</v>
      </c>
      <c r="D27" t="s">
        <v>11</v>
      </c>
      <c r="E27" t="s">
        <v>12</v>
      </c>
      <c r="F27">
        <v>102</v>
      </c>
      <c r="G27" t="s">
        <v>33</v>
      </c>
      <c r="H27" t="s">
        <v>58</v>
      </c>
      <c r="I27" s="3">
        <v>65000</v>
      </c>
      <c r="J27" s="2">
        <v>0.28000000000000003</v>
      </c>
      <c r="K27" s="20">
        <v>0.18</v>
      </c>
      <c r="L27" s="19">
        <v>83200</v>
      </c>
      <c r="M27" s="3">
        <v>76700</v>
      </c>
      <c r="N27" s="19">
        <v>-6500</v>
      </c>
      <c r="O27" s="19">
        <v>6717318400</v>
      </c>
      <c r="P27" s="19">
        <v>7121407084.999999</v>
      </c>
      <c r="Q27">
        <v>80737</v>
      </c>
      <c r="R27" s="11">
        <v>92847.549999999988</v>
      </c>
      <c r="S27" s="12">
        <v>12110.549999999988</v>
      </c>
      <c r="T27" s="3">
        <f t="shared" si="1"/>
        <v>404088684.99999905</v>
      </c>
    </row>
    <row r="28" spans="1:20" x14ac:dyDescent="0.3">
      <c r="A28" s="46">
        <v>45717</v>
      </c>
      <c r="B28" s="4">
        <v>2025</v>
      </c>
      <c r="C28" s="18" t="str">
        <f t="shared" si="0"/>
        <v>Mar</v>
      </c>
      <c r="D28" s="4" t="s">
        <v>11</v>
      </c>
      <c r="E28" s="4" t="s">
        <v>12</v>
      </c>
      <c r="F28" s="4">
        <v>102</v>
      </c>
      <c r="G28" s="4" t="s">
        <v>33</v>
      </c>
      <c r="H28" t="s">
        <v>58</v>
      </c>
      <c r="I28" s="6">
        <v>65000</v>
      </c>
      <c r="J28" s="7">
        <v>0.28000000000000003</v>
      </c>
      <c r="K28" s="20">
        <v>0.18</v>
      </c>
      <c r="L28" s="19">
        <v>83200</v>
      </c>
      <c r="M28" s="6">
        <v>76700</v>
      </c>
      <c r="N28" s="19">
        <v>-6500</v>
      </c>
      <c r="O28" s="19">
        <v>8848070400</v>
      </c>
      <c r="P28" s="19">
        <v>9380337135</v>
      </c>
      <c r="Q28" s="4">
        <v>106347</v>
      </c>
      <c r="R28" s="11">
        <v>122299.04999999999</v>
      </c>
      <c r="S28" s="12">
        <v>15952.049999999988</v>
      </c>
      <c r="T28" s="3">
        <f t="shared" si="1"/>
        <v>532266735</v>
      </c>
    </row>
    <row r="29" spans="1:20" x14ac:dyDescent="0.3">
      <c r="A29" s="45">
        <v>45748</v>
      </c>
      <c r="B29">
        <v>2025</v>
      </c>
      <c r="C29" s="18" t="str">
        <f t="shared" si="0"/>
        <v>Apr</v>
      </c>
      <c r="D29" t="s">
        <v>11</v>
      </c>
      <c r="E29" t="s">
        <v>12</v>
      </c>
      <c r="F29">
        <v>102</v>
      </c>
      <c r="G29" t="s">
        <v>33</v>
      </c>
      <c r="H29" t="s">
        <v>58</v>
      </c>
      <c r="I29" s="3">
        <v>65000</v>
      </c>
      <c r="J29" s="2">
        <v>0.28000000000000003</v>
      </c>
      <c r="K29" s="20">
        <v>0.18</v>
      </c>
      <c r="L29" s="19">
        <v>83200</v>
      </c>
      <c r="M29" s="3">
        <v>76700</v>
      </c>
      <c r="N29" s="19">
        <v>-6500</v>
      </c>
      <c r="O29" s="19">
        <v>8481158400</v>
      </c>
      <c r="P29" s="19">
        <v>8991353085</v>
      </c>
      <c r="Q29">
        <v>101937</v>
      </c>
      <c r="R29" s="11">
        <v>117227.54999999999</v>
      </c>
      <c r="S29" s="12">
        <v>15290.549999999988</v>
      </c>
      <c r="T29" s="3">
        <f t="shared" si="1"/>
        <v>510194685</v>
      </c>
    </row>
    <row r="30" spans="1:20" x14ac:dyDescent="0.3">
      <c r="A30" s="46">
        <v>45778</v>
      </c>
      <c r="B30" s="4">
        <v>2025</v>
      </c>
      <c r="C30" s="18" t="str">
        <f t="shared" si="0"/>
        <v>May</v>
      </c>
      <c r="D30" s="4" t="s">
        <v>11</v>
      </c>
      <c r="E30" s="4" t="s">
        <v>12</v>
      </c>
      <c r="F30" s="4">
        <v>102</v>
      </c>
      <c r="G30" s="4" t="s">
        <v>33</v>
      </c>
      <c r="H30" t="s">
        <v>58</v>
      </c>
      <c r="I30" s="6">
        <v>65000</v>
      </c>
      <c r="J30" s="7">
        <v>0.28000000000000003</v>
      </c>
      <c r="K30" s="20">
        <v>0.18</v>
      </c>
      <c r="L30" s="19">
        <v>83200</v>
      </c>
      <c r="M30" s="6">
        <v>76700</v>
      </c>
      <c r="N30" s="19">
        <v>-6500</v>
      </c>
      <c r="O30" s="19">
        <v>7025241600</v>
      </c>
      <c r="P30" s="19">
        <v>7447853790</v>
      </c>
      <c r="Q30" s="4">
        <v>84438</v>
      </c>
      <c r="R30" s="11">
        <v>97103.7</v>
      </c>
      <c r="S30" s="12">
        <v>12665.699999999997</v>
      </c>
      <c r="T30" s="3">
        <f t="shared" si="1"/>
        <v>422612190</v>
      </c>
    </row>
    <row r="31" spans="1:20" x14ac:dyDescent="0.3">
      <c r="A31" s="45">
        <v>45809</v>
      </c>
      <c r="B31">
        <v>2025</v>
      </c>
      <c r="C31" s="18" t="str">
        <f t="shared" si="0"/>
        <v>Jun</v>
      </c>
      <c r="D31" t="s">
        <v>11</v>
      </c>
      <c r="E31" t="s">
        <v>12</v>
      </c>
      <c r="F31">
        <v>102</v>
      </c>
      <c r="G31" t="s">
        <v>33</v>
      </c>
      <c r="H31" t="s">
        <v>58</v>
      </c>
      <c r="I31" s="3">
        <v>65000</v>
      </c>
      <c r="J31" s="2">
        <v>0.28000000000000003</v>
      </c>
      <c r="K31" s="20">
        <v>0.18</v>
      </c>
      <c r="L31" s="19">
        <v>83200</v>
      </c>
      <c r="M31" s="3">
        <v>76700</v>
      </c>
      <c r="N31" s="19">
        <v>-6500</v>
      </c>
      <c r="O31" s="19">
        <v>7734022400</v>
      </c>
      <c r="P31" s="19">
        <v>8199272184.999999</v>
      </c>
      <c r="Q31">
        <v>92957</v>
      </c>
      <c r="R31" s="11">
        <v>106900.54999999999</v>
      </c>
      <c r="S31" s="12">
        <v>13943.549999999988</v>
      </c>
      <c r="T31" s="3">
        <f t="shared" si="1"/>
        <v>465249784.99999905</v>
      </c>
    </row>
    <row r="32" spans="1:20" x14ac:dyDescent="0.3">
      <c r="A32" s="46">
        <v>45839</v>
      </c>
      <c r="B32" s="4">
        <v>2025</v>
      </c>
      <c r="C32" s="18" t="str">
        <f t="shared" si="0"/>
        <v>Jul</v>
      </c>
      <c r="D32" s="4" t="s">
        <v>11</v>
      </c>
      <c r="E32" s="4" t="s">
        <v>12</v>
      </c>
      <c r="F32" s="4">
        <v>102</v>
      </c>
      <c r="G32" s="4" t="s">
        <v>33</v>
      </c>
      <c r="H32" t="s">
        <v>58</v>
      </c>
      <c r="I32" s="6">
        <v>65000</v>
      </c>
      <c r="J32" s="7">
        <v>0.28000000000000003</v>
      </c>
      <c r="K32" s="20">
        <v>0.18</v>
      </c>
      <c r="L32" s="19">
        <v>83200</v>
      </c>
      <c r="M32" s="6">
        <v>76700</v>
      </c>
      <c r="N32" s="19">
        <v>-6500</v>
      </c>
      <c r="O32" s="19">
        <v>6793529600</v>
      </c>
      <c r="P32" s="19">
        <v>7202202865</v>
      </c>
      <c r="Q32" s="4">
        <v>81653</v>
      </c>
      <c r="R32" s="11">
        <v>93900.95</v>
      </c>
      <c r="S32" s="12">
        <v>12247.949999999997</v>
      </c>
      <c r="T32" s="3">
        <f t="shared" si="1"/>
        <v>408673265</v>
      </c>
    </row>
    <row r="33" spans="1:20" x14ac:dyDescent="0.3">
      <c r="A33" s="45">
        <v>45870</v>
      </c>
      <c r="B33">
        <v>2025</v>
      </c>
      <c r="C33" s="18" t="str">
        <f t="shared" si="0"/>
        <v>Aug</v>
      </c>
      <c r="D33" t="s">
        <v>11</v>
      </c>
      <c r="E33" t="s">
        <v>12</v>
      </c>
      <c r="F33">
        <v>102</v>
      </c>
      <c r="G33" t="s">
        <v>33</v>
      </c>
      <c r="H33" t="s">
        <v>58</v>
      </c>
      <c r="I33" s="3">
        <v>65000</v>
      </c>
      <c r="J33" s="2">
        <v>0.28000000000000003</v>
      </c>
      <c r="K33" s="20">
        <v>0.18</v>
      </c>
      <c r="L33" s="19">
        <v>83200</v>
      </c>
      <c r="M33" s="3">
        <v>76700</v>
      </c>
      <c r="N33" s="19">
        <v>-6500</v>
      </c>
      <c r="O33" s="19">
        <v>5748038400</v>
      </c>
      <c r="P33" s="19">
        <v>6093818834.999999</v>
      </c>
      <c r="Q33">
        <v>69087</v>
      </c>
      <c r="R33" s="11">
        <v>79450.049999999988</v>
      </c>
      <c r="S33" s="12">
        <v>10363.049999999988</v>
      </c>
      <c r="T33" s="3">
        <f t="shared" si="1"/>
        <v>345780434.99999905</v>
      </c>
    </row>
    <row r="34" spans="1:20" x14ac:dyDescent="0.3">
      <c r="A34" s="46">
        <v>45901</v>
      </c>
      <c r="B34" s="4">
        <v>2025</v>
      </c>
      <c r="C34" s="18" t="str">
        <f t="shared" si="0"/>
        <v>Sep</v>
      </c>
      <c r="D34" s="4" t="s">
        <v>11</v>
      </c>
      <c r="E34" s="4" t="s">
        <v>12</v>
      </c>
      <c r="F34" s="4">
        <v>102</v>
      </c>
      <c r="G34" s="4" t="s">
        <v>33</v>
      </c>
      <c r="H34" t="s">
        <v>58</v>
      </c>
      <c r="I34" s="6">
        <v>65000</v>
      </c>
      <c r="J34" s="7">
        <v>0.28000000000000003</v>
      </c>
      <c r="K34" s="20">
        <v>0.18</v>
      </c>
      <c r="L34" s="19">
        <v>83200</v>
      </c>
      <c r="M34" s="6">
        <v>76700</v>
      </c>
      <c r="N34" s="19">
        <v>-6500</v>
      </c>
      <c r="O34" s="19">
        <v>5846880000</v>
      </c>
      <c r="P34" s="19">
        <v>6198606375</v>
      </c>
      <c r="Q34" s="4">
        <v>70275</v>
      </c>
      <c r="R34" s="11">
        <v>80816.25</v>
      </c>
      <c r="S34" s="12">
        <v>10541.25</v>
      </c>
      <c r="T34" s="3">
        <f t="shared" si="1"/>
        <v>351726375</v>
      </c>
    </row>
    <row r="35" spans="1:20" x14ac:dyDescent="0.3">
      <c r="A35" s="45">
        <v>44927</v>
      </c>
      <c r="B35">
        <v>2023</v>
      </c>
      <c r="C35" s="18" t="str">
        <f t="shared" si="0"/>
        <v>Jan</v>
      </c>
      <c r="D35" t="s">
        <v>11</v>
      </c>
      <c r="E35" t="s">
        <v>13</v>
      </c>
      <c r="F35">
        <v>115</v>
      </c>
      <c r="G35" t="s">
        <v>33</v>
      </c>
      <c r="H35" t="s">
        <v>58</v>
      </c>
      <c r="I35" s="3">
        <v>72000</v>
      </c>
      <c r="J35" s="2">
        <v>0.28000000000000003</v>
      </c>
      <c r="K35" s="20">
        <v>0.18</v>
      </c>
      <c r="L35" s="19">
        <v>92160</v>
      </c>
      <c r="M35" s="3">
        <v>84960</v>
      </c>
      <c r="N35" s="19">
        <v>-7200</v>
      </c>
      <c r="O35" s="19">
        <v>6893107200</v>
      </c>
      <c r="P35" s="19">
        <v>7307770680</v>
      </c>
      <c r="Q35">
        <v>74795</v>
      </c>
      <c r="R35" s="11">
        <v>86014.25</v>
      </c>
      <c r="S35" s="12">
        <v>11219.25</v>
      </c>
      <c r="T35" s="3">
        <f t="shared" si="1"/>
        <v>414663480</v>
      </c>
    </row>
    <row r="36" spans="1:20" x14ac:dyDescent="0.3">
      <c r="A36" s="46">
        <v>44958</v>
      </c>
      <c r="B36" s="4">
        <v>2023</v>
      </c>
      <c r="C36" s="18" t="str">
        <f t="shared" si="0"/>
        <v>Feb</v>
      </c>
      <c r="D36" s="4" t="s">
        <v>11</v>
      </c>
      <c r="E36" s="4" t="s">
        <v>13</v>
      </c>
      <c r="F36" s="4">
        <v>115</v>
      </c>
      <c r="G36" s="4" t="s">
        <v>33</v>
      </c>
      <c r="H36" t="s">
        <v>58</v>
      </c>
      <c r="I36" s="6">
        <v>72000</v>
      </c>
      <c r="J36" s="7">
        <v>0.28000000000000003</v>
      </c>
      <c r="K36" s="20">
        <v>0.18</v>
      </c>
      <c r="L36" s="19">
        <v>92160</v>
      </c>
      <c r="M36" s="6">
        <v>84960</v>
      </c>
      <c r="N36" s="19">
        <v>-7200</v>
      </c>
      <c r="O36" s="19">
        <v>7084431360</v>
      </c>
      <c r="P36" s="19">
        <v>7510604183.999999</v>
      </c>
      <c r="Q36" s="4">
        <v>76871</v>
      </c>
      <c r="R36" s="11">
        <v>88401.65</v>
      </c>
      <c r="S36" s="12">
        <v>11530.649999999994</v>
      </c>
      <c r="T36" s="3">
        <f t="shared" si="1"/>
        <v>426172823.99999905</v>
      </c>
    </row>
    <row r="37" spans="1:20" x14ac:dyDescent="0.3">
      <c r="A37" s="45">
        <v>44986</v>
      </c>
      <c r="B37">
        <v>2023</v>
      </c>
      <c r="C37" s="18" t="str">
        <f t="shared" si="0"/>
        <v>Mar</v>
      </c>
      <c r="D37" t="s">
        <v>11</v>
      </c>
      <c r="E37" t="s">
        <v>13</v>
      </c>
      <c r="F37">
        <v>115</v>
      </c>
      <c r="G37" t="s">
        <v>33</v>
      </c>
      <c r="H37" t="s">
        <v>58</v>
      </c>
      <c r="I37" s="3">
        <v>72000</v>
      </c>
      <c r="J37" s="2">
        <v>0.28000000000000003</v>
      </c>
      <c r="K37" s="20">
        <v>0.18</v>
      </c>
      <c r="L37" s="19">
        <v>92160</v>
      </c>
      <c r="M37" s="3">
        <v>84960</v>
      </c>
      <c r="N37" s="19">
        <v>-7200</v>
      </c>
      <c r="O37" s="19">
        <v>6517923840</v>
      </c>
      <c r="P37" s="19">
        <v>6910017695.999999</v>
      </c>
      <c r="Q37">
        <v>70724</v>
      </c>
      <c r="R37" s="11">
        <v>81332.599999999991</v>
      </c>
      <c r="S37" s="12">
        <v>10608.599999999991</v>
      </c>
      <c r="T37" s="3">
        <f t="shared" si="1"/>
        <v>392093855.99999905</v>
      </c>
    </row>
    <row r="38" spans="1:20" x14ac:dyDescent="0.3">
      <c r="A38" s="46">
        <v>45017</v>
      </c>
      <c r="B38" s="4">
        <v>2023</v>
      </c>
      <c r="C38" s="18" t="str">
        <f t="shared" si="0"/>
        <v>Apr</v>
      </c>
      <c r="D38" s="4" t="s">
        <v>11</v>
      </c>
      <c r="E38" s="4" t="s">
        <v>13</v>
      </c>
      <c r="F38" s="4">
        <v>115</v>
      </c>
      <c r="G38" s="4" t="s">
        <v>33</v>
      </c>
      <c r="H38" t="s">
        <v>58</v>
      </c>
      <c r="I38" s="6">
        <v>72000</v>
      </c>
      <c r="J38" s="7">
        <v>0.28000000000000003</v>
      </c>
      <c r="K38" s="20">
        <v>0.18</v>
      </c>
      <c r="L38" s="19">
        <v>92160</v>
      </c>
      <c r="M38" s="6">
        <v>84960</v>
      </c>
      <c r="N38" s="19">
        <v>-7200</v>
      </c>
      <c r="O38" s="19">
        <v>7359528960</v>
      </c>
      <c r="P38" s="19">
        <v>7802250623.999999</v>
      </c>
      <c r="Q38" s="4">
        <v>79856</v>
      </c>
      <c r="R38" s="11">
        <v>91834.4</v>
      </c>
      <c r="S38" s="12">
        <v>11978.399999999994</v>
      </c>
      <c r="T38" s="3">
        <f t="shared" si="1"/>
        <v>442721663.99999905</v>
      </c>
    </row>
    <row r="39" spans="1:20" x14ac:dyDescent="0.3">
      <c r="A39" s="45">
        <v>45047</v>
      </c>
      <c r="B39">
        <v>2023</v>
      </c>
      <c r="C39" s="18" t="str">
        <f t="shared" si="0"/>
        <v>May</v>
      </c>
      <c r="D39" t="s">
        <v>11</v>
      </c>
      <c r="E39" t="s">
        <v>13</v>
      </c>
      <c r="F39">
        <v>115</v>
      </c>
      <c r="G39" t="s">
        <v>33</v>
      </c>
      <c r="H39" t="s">
        <v>58</v>
      </c>
      <c r="I39" s="3">
        <v>72000</v>
      </c>
      <c r="J39" s="2">
        <v>0.28000000000000003</v>
      </c>
      <c r="K39" s="20">
        <v>0.18</v>
      </c>
      <c r="L39" s="19">
        <v>92160</v>
      </c>
      <c r="M39" s="3">
        <v>84960</v>
      </c>
      <c r="N39" s="19">
        <v>-7200</v>
      </c>
      <c r="O39" s="19">
        <v>6590822400</v>
      </c>
      <c r="P39" s="19">
        <v>6987301560</v>
      </c>
      <c r="Q39">
        <v>71515</v>
      </c>
      <c r="R39" s="11">
        <v>82242.25</v>
      </c>
      <c r="S39" s="12">
        <v>10727.25</v>
      </c>
      <c r="T39" s="3">
        <f t="shared" si="1"/>
        <v>396479160</v>
      </c>
    </row>
    <row r="40" spans="1:20" x14ac:dyDescent="0.3">
      <c r="A40" s="46">
        <v>45078</v>
      </c>
      <c r="B40" s="4">
        <v>2023</v>
      </c>
      <c r="C40" s="18" t="str">
        <f t="shared" si="0"/>
        <v>Jun</v>
      </c>
      <c r="D40" s="4" t="s">
        <v>11</v>
      </c>
      <c r="E40" s="4" t="s">
        <v>13</v>
      </c>
      <c r="F40" s="4">
        <v>115</v>
      </c>
      <c r="G40" s="4" t="s">
        <v>33</v>
      </c>
      <c r="H40" t="s">
        <v>58</v>
      </c>
      <c r="I40" s="6">
        <v>72000</v>
      </c>
      <c r="J40" s="7">
        <v>0.28000000000000003</v>
      </c>
      <c r="K40" s="20">
        <v>0.18</v>
      </c>
      <c r="L40" s="19">
        <v>92160</v>
      </c>
      <c r="M40" s="6">
        <v>84960</v>
      </c>
      <c r="N40" s="19">
        <v>-7200</v>
      </c>
      <c r="O40" s="19">
        <v>6251304960</v>
      </c>
      <c r="P40" s="19">
        <v>6627360023.999999</v>
      </c>
      <c r="Q40" s="4">
        <v>67831</v>
      </c>
      <c r="R40" s="11">
        <v>78005.649999999994</v>
      </c>
      <c r="S40" s="12">
        <v>10174.649999999994</v>
      </c>
      <c r="T40" s="3">
        <f t="shared" si="1"/>
        <v>376055063.99999905</v>
      </c>
    </row>
    <row r="41" spans="1:20" x14ac:dyDescent="0.3">
      <c r="A41" s="45">
        <v>45108</v>
      </c>
      <c r="B41">
        <v>2023</v>
      </c>
      <c r="C41" s="18" t="str">
        <f t="shared" si="0"/>
        <v>Jul</v>
      </c>
      <c r="D41" t="s">
        <v>11</v>
      </c>
      <c r="E41" t="s">
        <v>13</v>
      </c>
      <c r="F41">
        <v>115</v>
      </c>
      <c r="G41" t="s">
        <v>33</v>
      </c>
      <c r="H41" t="s">
        <v>58</v>
      </c>
      <c r="I41" s="3">
        <v>72000</v>
      </c>
      <c r="J41" s="2">
        <v>0.28000000000000003</v>
      </c>
      <c r="K41" s="20">
        <v>0.18</v>
      </c>
      <c r="L41" s="19">
        <v>92160</v>
      </c>
      <c r="M41" s="3">
        <v>84960</v>
      </c>
      <c r="N41" s="19">
        <v>-7200</v>
      </c>
      <c r="O41" s="19">
        <v>6445117440</v>
      </c>
      <c r="P41" s="19">
        <v>6832831535.999999</v>
      </c>
      <c r="Q41">
        <v>69934</v>
      </c>
      <c r="R41" s="11">
        <v>80424.099999999991</v>
      </c>
      <c r="S41" s="12">
        <v>10490.099999999991</v>
      </c>
      <c r="T41" s="3">
        <f t="shared" si="1"/>
        <v>387714095.99999905</v>
      </c>
    </row>
    <row r="42" spans="1:20" x14ac:dyDescent="0.3">
      <c r="A42" s="46">
        <v>45139</v>
      </c>
      <c r="B42" s="4">
        <v>2023</v>
      </c>
      <c r="C42" s="18" t="str">
        <f t="shared" si="0"/>
        <v>Aug</v>
      </c>
      <c r="D42" s="4" t="s">
        <v>11</v>
      </c>
      <c r="E42" s="4" t="s">
        <v>13</v>
      </c>
      <c r="F42" s="4">
        <v>115</v>
      </c>
      <c r="G42" s="4" t="s">
        <v>33</v>
      </c>
      <c r="H42" t="s">
        <v>58</v>
      </c>
      <c r="I42" s="6">
        <v>72000</v>
      </c>
      <c r="J42" s="7">
        <v>0.28000000000000003</v>
      </c>
      <c r="K42" s="20">
        <v>0.18</v>
      </c>
      <c r="L42" s="19">
        <v>92160</v>
      </c>
      <c r="M42" s="6">
        <v>84960</v>
      </c>
      <c r="N42" s="19">
        <v>-7200</v>
      </c>
      <c r="O42" s="19">
        <v>4957378560</v>
      </c>
      <c r="P42" s="19">
        <v>5255595863.999999</v>
      </c>
      <c r="Q42" s="4">
        <v>53791</v>
      </c>
      <c r="R42" s="11">
        <v>61859.649999999994</v>
      </c>
      <c r="S42" s="12">
        <v>8068.6499999999942</v>
      </c>
      <c r="T42" s="3">
        <f t="shared" si="1"/>
        <v>298217303.99999905</v>
      </c>
    </row>
    <row r="43" spans="1:20" x14ac:dyDescent="0.3">
      <c r="A43" s="45">
        <v>45170</v>
      </c>
      <c r="B43">
        <v>2023</v>
      </c>
      <c r="C43" s="18" t="str">
        <f t="shared" si="0"/>
        <v>Sep</v>
      </c>
      <c r="D43" t="s">
        <v>11</v>
      </c>
      <c r="E43" t="s">
        <v>13</v>
      </c>
      <c r="F43">
        <v>115</v>
      </c>
      <c r="G43" t="s">
        <v>33</v>
      </c>
      <c r="H43" t="s">
        <v>58</v>
      </c>
      <c r="I43" s="3">
        <v>72000</v>
      </c>
      <c r="J43" s="2">
        <v>0.28000000000000003</v>
      </c>
      <c r="K43" s="20">
        <v>0.18</v>
      </c>
      <c r="L43" s="19">
        <v>92160</v>
      </c>
      <c r="M43" s="3">
        <v>84960</v>
      </c>
      <c r="N43" s="19">
        <v>-7200</v>
      </c>
      <c r="O43" s="19">
        <v>5894553600</v>
      </c>
      <c r="P43" s="19">
        <v>6249147840</v>
      </c>
      <c r="Q43">
        <v>63960</v>
      </c>
      <c r="R43" s="11">
        <v>73554</v>
      </c>
      <c r="S43" s="12">
        <v>9594</v>
      </c>
      <c r="T43" s="3">
        <f t="shared" si="1"/>
        <v>354594240</v>
      </c>
    </row>
    <row r="44" spans="1:20" x14ac:dyDescent="0.3">
      <c r="A44" s="46">
        <v>45200</v>
      </c>
      <c r="B44" s="4">
        <v>2023</v>
      </c>
      <c r="C44" s="18" t="str">
        <f t="shared" si="0"/>
        <v>Oct</v>
      </c>
      <c r="D44" s="4" t="s">
        <v>11</v>
      </c>
      <c r="E44" s="4" t="s">
        <v>13</v>
      </c>
      <c r="F44" s="4">
        <v>115</v>
      </c>
      <c r="G44" s="4" t="s">
        <v>33</v>
      </c>
      <c r="H44" t="s">
        <v>58</v>
      </c>
      <c r="I44" s="6">
        <v>72000</v>
      </c>
      <c r="J44" s="7">
        <v>0.28000000000000003</v>
      </c>
      <c r="K44" s="20">
        <v>0.18</v>
      </c>
      <c r="L44" s="19">
        <v>92160</v>
      </c>
      <c r="M44" s="6">
        <v>84960</v>
      </c>
      <c r="N44" s="19">
        <v>-7200</v>
      </c>
      <c r="O44" s="19">
        <v>6192599040</v>
      </c>
      <c r="P44" s="19">
        <v>6565122575.999999</v>
      </c>
      <c r="Q44" s="4">
        <v>67194</v>
      </c>
      <c r="R44" s="11">
        <v>77273.099999999991</v>
      </c>
      <c r="S44" s="12">
        <v>10079.099999999991</v>
      </c>
      <c r="T44" s="3">
        <f t="shared" si="1"/>
        <v>372523535.99999905</v>
      </c>
    </row>
    <row r="45" spans="1:20" x14ac:dyDescent="0.3">
      <c r="A45" s="45">
        <v>45231</v>
      </c>
      <c r="B45">
        <v>2023</v>
      </c>
      <c r="C45" s="18" t="str">
        <f t="shared" si="0"/>
        <v>Nov</v>
      </c>
      <c r="D45" t="s">
        <v>11</v>
      </c>
      <c r="E45" t="s">
        <v>13</v>
      </c>
      <c r="F45">
        <v>115</v>
      </c>
      <c r="G45" t="s">
        <v>33</v>
      </c>
      <c r="H45" t="s">
        <v>58</v>
      </c>
      <c r="I45" s="3">
        <v>72000</v>
      </c>
      <c r="J45" s="2">
        <v>0.28000000000000003</v>
      </c>
      <c r="K45" s="20">
        <v>0.18</v>
      </c>
      <c r="L45" s="19">
        <v>92160</v>
      </c>
      <c r="M45" s="3">
        <v>84960</v>
      </c>
      <c r="N45" s="19">
        <v>-7200</v>
      </c>
      <c r="O45" s="19">
        <v>5671065600</v>
      </c>
      <c r="P45" s="19">
        <v>6012215640</v>
      </c>
      <c r="Q45">
        <v>61535</v>
      </c>
      <c r="R45" s="11">
        <v>70765.25</v>
      </c>
      <c r="S45" s="12">
        <v>9230.25</v>
      </c>
      <c r="T45" s="3">
        <f t="shared" si="1"/>
        <v>341150040</v>
      </c>
    </row>
    <row r="46" spans="1:20" x14ac:dyDescent="0.3">
      <c r="A46" s="46">
        <v>45261</v>
      </c>
      <c r="B46" s="4">
        <v>2023</v>
      </c>
      <c r="C46" s="18" t="str">
        <f t="shared" si="0"/>
        <v>Dec</v>
      </c>
      <c r="D46" s="4" t="s">
        <v>11</v>
      </c>
      <c r="E46" s="4" t="s">
        <v>13</v>
      </c>
      <c r="F46" s="4">
        <v>115</v>
      </c>
      <c r="G46" s="4" t="s">
        <v>33</v>
      </c>
      <c r="H46" t="s">
        <v>58</v>
      </c>
      <c r="I46" s="6">
        <v>72000</v>
      </c>
      <c r="J46" s="7">
        <v>0.28000000000000003</v>
      </c>
      <c r="K46" s="20">
        <v>0.18</v>
      </c>
      <c r="L46" s="19">
        <v>92160</v>
      </c>
      <c r="M46" s="6">
        <v>84960</v>
      </c>
      <c r="N46" s="19">
        <v>-7200</v>
      </c>
      <c r="O46" s="19">
        <v>6118225920</v>
      </c>
      <c r="P46" s="19">
        <v>6486275447.999999</v>
      </c>
      <c r="Q46" s="4">
        <v>66387</v>
      </c>
      <c r="R46" s="11">
        <v>76345.049999999988</v>
      </c>
      <c r="S46" s="12">
        <v>9958.0499999999884</v>
      </c>
      <c r="T46" s="3">
        <f t="shared" si="1"/>
        <v>368049527.99999905</v>
      </c>
    </row>
    <row r="47" spans="1:20" x14ac:dyDescent="0.3">
      <c r="A47" s="45">
        <v>45292</v>
      </c>
      <c r="B47">
        <v>2024</v>
      </c>
      <c r="C47" s="18" t="str">
        <f t="shared" si="0"/>
        <v>Jan</v>
      </c>
      <c r="D47" t="s">
        <v>11</v>
      </c>
      <c r="E47" t="s">
        <v>13</v>
      </c>
      <c r="F47">
        <v>115</v>
      </c>
      <c r="G47" t="s">
        <v>33</v>
      </c>
      <c r="H47" t="s">
        <v>58</v>
      </c>
      <c r="I47" s="3">
        <v>72000</v>
      </c>
      <c r="J47" s="2">
        <v>0.28000000000000003</v>
      </c>
      <c r="K47" s="20">
        <v>0.18</v>
      </c>
      <c r="L47" s="19">
        <v>92160</v>
      </c>
      <c r="M47" s="3">
        <v>84960</v>
      </c>
      <c r="N47" s="19">
        <v>-7200</v>
      </c>
      <c r="O47" s="19">
        <v>6215546880</v>
      </c>
      <c r="P47" s="19">
        <v>6589450872</v>
      </c>
      <c r="Q47">
        <v>67443</v>
      </c>
      <c r="R47" s="11">
        <v>77559.45</v>
      </c>
      <c r="S47" s="12">
        <v>10116.449999999997</v>
      </c>
      <c r="T47" s="3">
        <f t="shared" si="1"/>
        <v>373903992</v>
      </c>
    </row>
    <row r="48" spans="1:20" x14ac:dyDescent="0.3">
      <c r="A48" s="46">
        <v>45323</v>
      </c>
      <c r="B48" s="4">
        <v>2024</v>
      </c>
      <c r="C48" s="18" t="str">
        <f t="shared" si="0"/>
        <v>Feb</v>
      </c>
      <c r="D48" s="4" t="s">
        <v>11</v>
      </c>
      <c r="E48" s="4" t="s">
        <v>13</v>
      </c>
      <c r="F48" s="4">
        <v>115</v>
      </c>
      <c r="G48" s="4" t="s">
        <v>33</v>
      </c>
      <c r="H48" t="s">
        <v>58</v>
      </c>
      <c r="I48" s="6">
        <v>72000</v>
      </c>
      <c r="J48" s="7">
        <v>0.28000000000000003</v>
      </c>
      <c r="K48" s="20">
        <v>0.18</v>
      </c>
      <c r="L48" s="19">
        <v>92160</v>
      </c>
      <c r="M48" s="6">
        <v>84960</v>
      </c>
      <c r="N48" s="19">
        <v>-7200</v>
      </c>
      <c r="O48" s="19">
        <v>6586398720</v>
      </c>
      <c r="P48" s="19">
        <v>6982611767.999999</v>
      </c>
      <c r="Q48" s="4">
        <v>71467</v>
      </c>
      <c r="R48" s="11">
        <v>82187.049999999988</v>
      </c>
      <c r="S48" s="12">
        <v>10720.049999999988</v>
      </c>
      <c r="T48" s="3">
        <f t="shared" si="1"/>
        <v>396213047.99999905</v>
      </c>
    </row>
    <row r="49" spans="1:20" x14ac:dyDescent="0.3">
      <c r="A49" s="45">
        <v>45352</v>
      </c>
      <c r="B49">
        <v>2024</v>
      </c>
      <c r="C49" s="18" t="str">
        <f t="shared" si="0"/>
        <v>Mar</v>
      </c>
      <c r="D49" t="s">
        <v>11</v>
      </c>
      <c r="E49" t="s">
        <v>13</v>
      </c>
      <c r="F49">
        <v>115</v>
      </c>
      <c r="G49" t="s">
        <v>33</v>
      </c>
      <c r="H49" t="s">
        <v>58</v>
      </c>
      <c r="I49" s="3">
        <v>72000</v>
      </c>
      <c r="J49" s="2">
        <v>0.28000000000000003</v>
      </c>
      <c r="K49" s="20">
        <v>0.18</v>
      </c>
      <c r="L49" s="19">
        <v>92160</v>
      </c>
      <c r="M49" s="3">
        <v>84960</v>
      </c>
      <c r="N49" s="19">
        <v>-7200</v>
      </c>
      <c r="O49" s="19">
        <v>8468213760</v>
      </c>
      <c r="P49" s="19">
        <v>8977629744</v>
      </c>
      <c r="Q49">
        <v>91886</v>
      </c>
      <c r="R49" s="11">
        <v>105668.9</v>
      </c>
      <c r="S49" s="12">
        <v>13782.899999999994</v>
      </c>
      <c r="T49" s="3">
        <f t="shared" si="1"/>
        <v>509415984</v>
      </c>
    </row>
    <row r="50" spans="1:20" x14ac:dyDescent="0.3">
      <c r="A50" s="46">
        <v>45383</v>
      </c>
      <c r="B50" s="4">
        <v>2024</v>
      </c>
      <c r="C50" s="18" t="str">
        <f t="shared" si="0"/>
        <v>Apr</v>
      </c>
      <c r="D50" s="4" t="s">
        <v>11</v>
      </c>
      <c r="E50" s="4" t="s">
        <v>13</v>
      </c>
      <c r="F50" s="4">
        <v>115</v>
      </c>
      <c r="G50" s="4" t="s">
        <v>33</v>
      </c>
      <c r="H50" t="s">
        <v>58</v>
      </c>
      <c r="I50" s="6">
        <v>72000</v>
      </c>
      <c r="J50" s="7">
        <v>0.28000000000000003</v>
      </c>
      <c r="K50" s="20">
        <v>0.18</v>
      </c>
      <c r="L50" s="19">
        <v>92160</v>
      </c>
      <c r="M50" s="6">
        <v>84960</v>
      </c>
      <c r="N50" s="19">
        <v>-7200</v>
      </c>
      <c r="O50" s="19">
        <v>7705958400</v>
      </c>
      <c r="P50" s="19">
        <v>8169519959.999999</v>
      </c>
      <c r="Q50" s="4">
        <v>83615</v>
      </c>
      <c r="R50" s="11">
        <v>96157.249999999985</v>
      </c>
      <c r="S50" s="12">
        <v>12542.249999999985</v>
      </c>
      <c r="T50" s="3">
        <f t="shared" si="1"/>
        <v>463561559.99999905</v>
      </c>
    </row>
    <row r="51" spans="1:20" x14ac:dyDescent="0.3">
      <c r="A51" s="45">
        <v>45413</v>
      </c>
      <c r="B51">
        <v>2024</v>
      </c>
      <c r="C51" s="18" t="str">
        <f t="shared" si="0"/>
        <v>May</v>
      </c>
      <c r="D51" t="s">
        <v>11</v>
      </c>
      <c r="E51" t="s">
        <v>13</v>
      </c>
      <c r="F51">
        <v>115</v>
      </c>
      <c r="G51" t="s">
        <v>33</v>
      </c>
      <c r="H51" t="s">
        <v>58</v>
      </c>
      <c r="I51" s="3">
        <v>72000</v>
      </c>
      <c r="J51" s="2">
        <v>0.28000000000000003</v>
      </c>
      <c r="K51" s="20">
        <v>0.18</v>
      </c>
      <c r="L51" s="19">
        <v>92160</v>
      </c>
      <c r="M51" s="3">
        <v>84960</v>
      </c>
      <c r="N51" s="19">
        <v>-7200</v>
      </c>
      <c r="O51" s="19">
        <v>7058442240</v>
      </c>
      <c r="P51" s="19">
        <v>7483051655.999999</v>
      </c>
      <c r="Q51">
        <v>76589</v>
      </c>
      <c r="R51" s="11">
        <v>88077.349999999991</v>
      </c>
      <c r="S51" s="12">
        <v>11488.349999999991</v>
      </c>
      <c r="T51" s="3">
        <f t="shared" si="1"/>
        <v>424609415.99999905</v>
      </c>
    </row>
    <row r="52" spans="1:20" x14ac:dyDescent="0.3">
      <c r="A52" s="46">
        <v>45444</v>
      </c>
      <c r="B52" s="4">
        <v>2024</v>
      </c>
      <c r="C52" s="18" t="str">
        <f t="shared" si="0"/>
        <v>Jun</v>
      </c>
      <c r="D52" s="4" t="s">
        <v>11</v>
      </c>
      <c r="E52" s="4" t="s">
        <v>13</v>
      </c>
      <c r="F52" s="4">
        <v>115</v>
      </c>
      <c r="G52" s="4" t="s">
        <v>33</v>
      </c>
      <c r="H52" t="s">
        <v>58</v>
      </c>
      <c r="I52" s="6">
        <v>72000</v>
      </c>
      <c r="J52" s="7">
        <v>0.28000000000000003</v>
      </c>
      <c r="K52" s="20">
        <v>0.18</v>
      </c>
      <c r="L52" s="19">
        <v>92160</v>
      </c>
      <c r="M52" s="6">
        <v>84960</v>
      </c>
      <c r="N52" s="19">
        <v>-7200</v>
      </c>
      <c r="O52" s="19">
        <v>6480875520</v>
      </c>
      <c r="P52" s="19">
        <v>6870740687.999999</v>
      </c>
      <c r="Q52" s="4">
        <v>70322</v>
      </c>
      <c r="R52" s="11">
        <v>80870.299999999988</v>
      </c>
      <c r="S52" s="12">
        <v>10548.299999999988</v>
      </c>
      <c r="T52" s="3">
        <f t="shared" si="1"/>
        <v>389865167.99999905</v>
      </c>
    </row>
    <row r="53" spans="1:20" x14ac:dyDescent="0.3">
      <c r="A53" s="45">
        <v>45474</v>
      </c>
      <c r="B53">
        <v>2024</v>
      </c>
      <c r="C53" s="18" t="str">
        <f t="shared" si="0"/>
        <v>Jul</v>
      </c>
      <c r="D53" t="s">
        <v>11</v>
      </c>
      <c r="E53" t="s">
        <v>13</v>
      </c>
      <c r="F53">
        <v>115</v>
      </c>
      <c r="G53" t="s">
        <v>33</v>
      </c>
      <c r="H53" t="s">
        <v>58</v>
      </c>
      <c r="I53" s="3">
        <v>72000</v>
      </c>
      <c r="J53" s="2">
        <v>0.28000000000000003</v>
      </c>
      <c r="K53" s="20">
        <v>0.18</v>
      </c>
      <c r="L53" s="19">
        <v>92160</v>
      </c>
      <c r="M53" s="3">
        <v>84960</v>
      </c>
      <c r="N53" s="19">
        <v>-7200</v>
      </c>
      <c r="O53" s="19">
        <v>5120225280</v>
      </c>
      <c r="P53" s="19">
        <v>5428238832</v>
      </c>
      <c r="Q53">
        <v>55558</v>
      </c>
      <c r="R53" s="11">
        <v>63891.7</v>
      </c>
      <c r="S53" s="12">
        <v>8333.6999999999971</v>
      </c>
      <c r="T53" s="3">
        <f t="shared" si="1"/>
        <v>308013552</v>
      </c>
    </row>
    <row r="54" spans="1:20" x14ac:dyDescent="0.3">
      <c r="A54" s="46">
        <v>45505</v>
      </c>
      <c r="B54" s="4">
        <v>2024</v>
      </c>
      <c r="C54" s="18" t="str">
        <f t="shared" si="0"/>
        <v>Aug</v>
      </c>
      <c r="D54" s="4" t="s">
        <v>11</v>
      </c>
      <c r="E54" s="4" t="s">
        <v>13</v>
      </c>
      <c r="F54" s="4">
        <v>115</v>
      </c>
      <c r="G54" s="4" t="s">
        <v>33</v>
      </c>
      <c r="H54" t="s">
        <v>58</v>
      </c>
      <c r="I54" s="6">
        <v>72000</v>
      </c>
      <c r="J54" s="7">
        <v>0.28000000000000003</v>
      </c>
      <c r="K54" s="20">
        <v>0.18</v>
      </c>
      <c r="L54" s="19">
        <v>92160</v>
      </c>
      <c r="M54" s="6">
        <v>84960</v>
      </c>
      <c r="N54" s="19">
        <v>-7200</v>
      </c>
      <c r="O54" s="19">
        <v>5839810560</v>
      </c>
      <c r="P54" s="19">
        <v>6191111663.999999</v>
      </c>
      <c r="Q54" s="4">
        <v>63366</v>
      </c>
      <c r="R54" s="11">
        <v>72870.899999999994</v>
      </c>
      <c r="S54" s="12">
        <v>9504.8999999999942</v>
      </c>
      <c r="T54" s="3">
        <f t="shared" si="1"/>
        <v>351301103.99999905</v>
      </c>
    </row>
    <row r="55" spans="1:20" x14ac:dyDescent="0.3">
      <c r="A55" s="45">
        <v>45536</v>
      </c>
      <c r="B55">
        <v>2024</v>
      </c>
      <c r="C55" s="18" t="str">
        <f t="shared" si="0"/>
        <v>Sep</v>
      </c>
      <c r="D55" t="s">
        <v>11</v>
      </c>
      <c r="E55" t="s">
        <v>13</v>
      </c>
      <c r="F55">
        <v>115</v>
      </c>
      <c r="G55" t="s">
        <v>33</v>
      </c>
      <c r="H55" t="s">
        <v>58</v>
      </c>
      <c r="I55" s="3">
        <v>72000</v>
      </c>
      <c r="J55" s="2">
        <v>0.28000000000000003</v>
      </c>
      <c r="K55" s="20">
        <v>0.18</v>
      </c>
      <c r="L55" s="19">
        <v>92160</v>
      </c>
      <c r="M55" s="3">
        <v>84960</v>
      </c>
      <c r="N55" s="19">
        <v>-7200</v>
      </c>
      <c r="O55" s="19">
        <v>6280519680</v>
      </c>
      <c r="P55" s="19">
        <v>6658332192</v>
      </c>
      <c r="Q55">
        <v>68148</v>
      </c>
      <c r="R55" s="11">
        <v>78370.2</v>
      </c>
      <c r="S55" s="12">
        <v>10222.199999999997</v>
      </c>
      <c r="T55" s="3">
        <f t="shared" si="1"/>
        <v>377812512</v>
      </c>
    </row>
    <row r="56" spans="1:20" x14ac:dyDescent="0.3">
      <c r="A56" s="46">
        <v>45566</v>
      </c>
      <c r="B56" s="4">
        <v>2024</v>
      </c>
      <c r="C56" s="18" t="str">
        <f t="shared" si="0"/>
        <v>Oct</v>
      </c>
      <c r="D56" s="4" t="s">
        <v>11</v>
      </c>
      <c r="E56" s="4" t="s">
        <v>13</v>
      </c>
      <c r="F56" s="4">
        <v>115</v>
      </c>
      <c r="G56" s="4" t="s">
        <v>33</v>
      </c>
      <c r="H56" t="s">
        <v>58</v>
      </c>
      <c r="I56" s="6">
        <v>72000</v>
      </c>
      <c r="J56" s="7">
        <v>0.28000000000000003</v>
      </c>
      <c r="K56" s="20">
        <v>0.18</v>
      </c>
      <c r="L56" s="19">
        <v>92160</v>
      </c>
      <c r="M56" s="6">
        <v>84960</v>
      </c>
      <c r="N56" s="19">
        <v>-7200</v>
      </c>
      <c r="O56" s="19">
        <v>5248051200</v>
      </c>
      <c r="P56" s="19">
        <v>5563754279.999999</v>
      </c>
      <c r="Q56" s="4">
        <v>56945</v>
      </c>
      <c r="R56" s="11">
        <v>65486.749999999993</v>
      </c>
      <c r="S56" s="12">
        <v>8541.7499999999927</v>
      </c>
      <c r="T56" s="3">
        <f t="shared" si="1"/>
        <v>315703079.99999905</v>
      </c>
    </row>
    <row r="57" spans="1:20" x14ac:dyDescent="0.3">
      <c r="A57" s="45">
        <v>45597</v>
      </c>
      <c r="B57">
        <v>2024</v>
      </c>
      <c r="C57" s="18" t="str">
        <f t="shared" si="0"/>
        <v>Nov</v>
      </c>
      <c r="D57" t="s">
        <v>11</v>
      </c>
      <c r="E57" t="s">
        <v>13</v>
      </c>
      <c r="F57">
        <v>115</v>
      </c>
      <c r="G57" t="s">
        <v>33</v>
      </c>
      <c r="H57" t="s">
        <v>58</v>
      </c>
      <c r="I57" s="3">
        <v>72000</v>
      </c>
      <c r="J57" s="2">
        <v>0.28000000000000003</v>
      </c>
      <c r="K57" s="20">
        <v>0.18</v>
      </c>
      <c r="L57" s="19">
        <v>92160</v>
      </c>
      <c r="M57" s="3">
        <v>84960</v>
      </c>
      <c r="N57" s="19">
        <v>-7200</v>
      </c>
      <c r="O57" s="19">
        <v>5563699200</v>
      </c>
      <c r="P57" s="19">
        <v>5898390480</v>
      </c>
      <c r="Q57">
        <v>60370</v>
      </c>
      <c r="R57" s="11">
        <v>69425.5</v>
      </c>
      <c r="S57" s="12">
        <v>9055.5</v>
      </c>
      <c r="T57" s="3">
        <f t="shared" si="1"/>
        <v>334691280</v>
      </c>
    </row>
    <row r="58" spans="1:20" x14ac:dyDescent="0.3">
      <c r="A58" s="46">
        <v>45627</v>
      </c>
      <c r="B58" s="4">
        <v>2024</v>
      </c>
      <c r="C58" s="18" t="str">
        <f t="shared" si="0"/>
        <v>Dec</v>
      </c>
      <c r="D58" s="4" t="s">
        <v>11</v>
      </c>
      <c r="E58" s="4" t="s">
        <v>13</v>
      </c>
      <c r="F58" s="4">
        <v>115</v>
      </c>
      <c r="G58" s="4" t="s">
        <v>33</v>
      </c>
      <c r="H58" t="s">
        <v>58</v>
      </c>
      <c r="I58" s="6">
        <v>72000</v>
      </c>
      <c r="J58" s="7">
        <v>0.28000000000000003</v>
      </c>
      <c r="K58" s="20">
        <v>0.18</v>
      </c>
      <c r="L58" s="19">
        <v>92160</v>
      </c>
      <c r="M58" s="6">
        <v>84960</v>
      </c>
      <c r="N58" s="19">
        <v>-7200</v>
      </c>
      <c r="O58" s="19">
        <v>7030425600</v>
      </c>
      <c r="P58" s="19">
        <v>7453349640</v>
      </c>
      <c r="Q58" s="4">
        <v>76285</v>
      </c>
      <c r="R58" s="11">
        <v>87727.75</v>
      </c>
      <c r="S58" s="12">
        <v>11442.75</v>
      </c>
      <c r="T58" s="3">
        <f t="shared" si="1"/>
        <v>422924040</v>
      </c>
    </row>
    <row r="59" spans="1:20" x14ac:dyDescent="0.3">
      <c r="A59" s="45">
        <v>45658</v>
      </c>
      <c r="B59">
        <v>2025</v>
      </c>
      <c r="C59" s="18" t="str">
        <f t="shared" si="0"/>
        <v>Jan</v>
      </c>
      <c r="D59" t="s">
        <v>11</v>
      </c>
      <c r="E59" t="s">
        <v>13</v>
      </c>
      <c r="F59">
        <v>115</v>
      </c>
      <c r="G59" t="s">
        <v>33</v>
      </c>
      <c r="H59" t="s">
        <v>58</v>
      </c>
      <c r="I59" s="3">
        <v>72000</v>
      </c>
      <c r="J59" s="2">
        <v>0.28000000000000003</v>
      </c>
      <c r="K59" s="20">
        <v>0.18</v>
      </c>
      <c r="L59" s="19">
        <v>92160</v>
      </c>
      <c r="M59" s="3">
        <v>84960</v>
      </c>
      <c r="N59" s="19">
        <v>-7200</v>
      </c>
      <c r="O59" s="19">
        <v>6886748160</v>
      </c>
      <c r="P59" s="19">
        <v>7301029103.999999</v>
      </c>
      <c r="Q59">
        <v>74726</v>
      </c>
      <c r="R59" s="11">
        <v>85934.9</v>
      </c>
      <c r="S59" s="12">
        <v>11208.899999999994</v>
      </c>
      <c r="T59" s="3">
        <f t="shared" si="1"/>
        <v>414280943.99999905</v>
      </c>
    </row>
    <row r="60" spans="1:20" x14ac:dyDescent="0.3">
      <c r="A60" s="46">
        <v>45689</v>
      </c>
      <c r="B60" s="4">
        <v>2025</v>
      </c>
      <c r="C60" s="18" t="str">
        <f t="shared" si="0"/>
        <v>Feb</v>
      </c>
      <c r="D60" s="4" t="s">
        <v>11</v>
      </c>
      <c r="E60" s="4" t="s">
        <v>13</v>
      </c>
      <c r="F60" s="4">
        <v>115</v>
      </c>
      <c r="G60" s="4" t="s">
        <v>33</v>
      </c>
      <c r="H60" t="s">
        <v>58</v>
      </c>
      <c r="I60" s="6">
        <v>72000</v>
      </c>
      <c r="J60" s="7">
        <v>0.28000000000000003</v>
      </c>
      <c r="K60" s="20">
        <v>0.18</v>
      </c>
      <c r="L60" s="19">
        <v>92160</v>
      </c>
      <c r="M60" s="6">
        <v>84960</v>
      </c>
      <c r="N60" s="19">
        <v>-7200</v>
      </c>
      <c r="O60" s="19">
        <v>7471411200</v>
      </c>
      <c r="P60" s="19">
        <v>7920863280</v>
      </c>
      <c r="Q60" s="4">
        <v>81070</v>
      </c>
      <c r="R60" s="11">
        <v>93230.5</v>
      </c>
      <c r="S60" s="12">
        <v>12160.5</v>
      </c>
      <c r="T60" s="3">
        <f t="shared" si="1"/>
        <v>449452080</v>
      </c>
    </row>
    <row r="61" spans="1:20" x14ac:dyDescent="0.3">
      <c r="A61" s="45">
        <v>45717</v>
      </c>
      <c r="B61">
        <v>2025</v>
      </c>
      <c r="C61" s="18" t="str">
        <f t="shared" si="0"/>
        <v>Mar</v>
      </c>
      <c r="D61" t="s">
        <v>11</v>
      </c>
      <c r="E61" t="s">
        <v>13</v>
      </c>
      <c r="F61">
        <v>115</v>
      </c>
      <c r="G61" t="s">
        <v>33</v>
      </c>
      <c r="H61" t="s">
        <v>58</v>
      </c>
      <c r="I61" s="3">
        <v>72000</v>
      </c>
      <c r="J61" s="2">
        <v>0.28000000000000003</v>
      </c>
      <c r="K61" s="20">
        <v>0.18</v>
      </c>
      <c r="L61" s="19">
        <v>92160</v>
      </c>
      <c r="M61" s="3">
        <v>84960</v>
      </c>
      <c r="N61" s="19">
        <v>-7200</v>
      </c>
      <c r="O61" s="19">
        <v>6730260480</v>
      </c>
      <c r="P61" s="19">
        <v>7135127712</v>
      </c>
      <c r="Q61">
        <v>73028</v>
      </c>
      <c r="R61" s="11">
        <v>83982.2</v>
      </c>
      <c r="S61" s="12">
        <v>10954.199999999997</v>
      </c>
      <c r="T61" s="3">
        <f t="shared" si="1"/>
        <v>404867232</v>
      </c>
    </row>
    <row r="62" spans="1:20" x14ac:dyDescent="0.3">
      <c r="A62" s="46">
        <v>45748</v>
      </c>
      <c r="B62" s="4">
        <v>2025</v>
      </c>
      <c r="C62" s="18" t="str">
        <f t="shared" si="0"/>
        <v>Apr</v>
      </c>
      <c r="D62" s="4" t="s">
        <v>11</v>
      </c>
      <c r="E62" s="4" t="s">
        <v>13</v>
      </c>
      <c r="F62" s="4">
        <v>115</v>
      </c>
      <c r="G62" s="4" t="s">
        <v>33</v>
      </c>
      <c r="H62" t="s">
        <v>58</v>
      </c>
      <c r="I62" s="6">
        <v>72000</v>
      </c>
      <c r="J62" s="7">
        <v>0.28000000000000003</v>
      </c>
      <c r="K62" s="20">
        <v>0.18</v>
      </c>
      <c r="L62" s="19">
        <v>92160</v>
      </c>
      <c r="M62" s="6">
        <v>84960</v>
      </c>
      <c r="N62" s="19">
        <v>-7200</v>
      </c>
      <c r="O62" s="19">
        <v>7961057280</v>
      </c>
      <c r="P62" s="19">
        <v>8439964632</v>
      </c>
      <c r="Q62" s="4">
        <v>86383</v>
      </c>
      <c r="R62" s="11">
        <v>99340.45</v>
      </c>
      <c r="S62" s="12">
        <v>12957.449999999997</v>
      </c>
      <c r="T62" s="3">
        <f t="shared" si="1"/>
        <v>478907352</v>
      </c>
    </row>
    <row r="63" spans="1:20" x14ac:dyDescent="0.3">
      <c r="A63" s="45">
        <v>45778</v>
      </c>
      <c r="B63">
        <v>2025</v>
      </c>
      <c r="C63" s="18" t="str">
        <f t="shared" si="0"/>
        <v>May</v>
      </c>
      <c r="D63" t="s">
        <v>11</v>
      </c>
      <c r="E63" t="s">
        <v>13</v>
      </c>
      <c r="F63">
        <v>115</v>
      </c>
      <c r="G63" t="s">
        <v>33</v>
      </c>
      <c r="H63" t="s">
        <v>58</v>
      </c>
      <c r="I63" s="3">
        <v>72000</v>
      </c>
      <c r="J63" s="2">
        <v>0.28000000000000003</v>
      </c>
      <c r="K63" s="20">
        <v>0.18</v>
      </c>
      <c r="L63" s="19">
        <v>92160</v>
      </c>
      <c r="M63" s="3">
        <v>84960</v>
      </c>
      <c r="N63" s="19">
        <v>-7200</v>
      </c>
      <c r="O63" s="19">
        <v>7591403520</v>
      </c>
      <c r="P63" s="19">
        <v>8048073887.999999</v>
      </c>
      <c r="Q63">
        <v>82372</v>
      </c>
      <c r="R63" s="11">
        <v>94727.799999999988</v>
      </c>
      <c r="S63" s="12">
        <v>12355.799999999988</v>
      </c>
      <c r="T63" s="3">
        <f t="shared" si="1"/>
        <v>456670367.99999905</v>
      </c>
    </row>
    <row r="64" spans="1:20" x14ac:dyDescent="0.3">
      <c r="A64" s="46">
        <v>45809</v>
      </c>
      <c r="B64" s="4">
        <v>2025</v>
      </c>
      <c r="C64" s="18" t="str">
        <f t="shared" si="0"/>
        <v>Jun</v>
      </c>
      <c r="D64" s="4" t="s">
        <v>11</v>
      </c>
      <c r="E64" s="4" t="s">
        <v>13</v>
      </c>
      <c r="F64" s="4">
        <v>115</v>
      </c>
      <c r="G64" s="4" t="s">
        <v>33</v>
      </c>
      <c r="H64" t="s">
        <v>58</v>
      </c>
      <c r="I64" s="6">
        <v>72000</v>
      </c>
      <c r="J64" s="7">
        <v>0.28000000000000003</v>
      </c>
      <c r="K64" s="20">
        <v>0.18</v>
      </c>
      <c r="L64" s="19">
        <v>92160</v>
      </c>
      <c r="M64" s="6">
        <v>84960</v>
      </c>
      <c r="N64" s="19">
        <v>-7200</v>
      </c>
      <c r="O64" s="19">
        <v>7580252160</v>
      </c>
      <c r="P64" s="19">
        <v>8036251703.999999</v>
      </c>
      <c r="Q64" s="4">
        <v>82251</v>
      </c>
      <c r="R64" s="11">
        <v>94588.65</v>
      </c>
      <c r="S64" s="12">
        <v>12337.649999999994</v>
      </c>
      <c r="T64" s="3">
        <f t="shared" si="1"/>
        <v>455999543.99999905</v>
      </c>
    </row>
    <row r="65" spans="1:20" x14ac:dyDescent="0.3">
      <c r="A65" s="45">
        <v>45839</v>
      </c>
      <c r="B65">
        <v>2025</v>
      </c>
      <c r="C65" s="18" t="str">
        <f t="shared" si="0"/>
        <v>Jul</v>
      </c>
      <c r="D65" t="s">
        <v>11</v>
      </c>
      <c r="E65" t="s">
        <v>13</v>
      </c>
      <c r="F65">
        <v>115</v>
      </c>
      <c r="G65" t="s">
        <v>33</v>
      </c>
      <c r="H65" t="s">
        <v>58</v>
      </c>
      <c r="I65" s="3">
        <v>72000</v>
      </c>
      <c r="J65" s="2">
        <v>0.28000000000000003</v>
      </c>
      <c r="K65" s="20">
        <v>0.18</v>
      </c>
      <c r="L65" s="19">
        <v>92160</v>
      </c>
      <c r="M65" s="3">
        <v>84960</v>
      </c>
      <c r="N65" s="19">
        <v>-7200</v>
      </c>
      <c r="O65" s="19">
        <v>6654965760</v>
      </c>
      <c r="P65" s="19">
        <v>7055303543.999999</v>
      </c>
      <c r="Q65">
        <v>72211</v>
      </c>
      <c r="R65" s="11">
        <v>83042.649999999994</v>
      </c>
      <c r="S65" s="12">
        <v>10831.649999999994</v>
      </c>
      <c r="T65" s="3">
        <f t="shared" si="1"/>
        <v>400337783.99999905</v>
      </c>
    </row>
    <row r="66" spans="1:20" x14ac:dyDescent="0.3">
      <c r="A66" s="46">
        <v>45870</v>
      </c>
      <c r="B66" s="4">
        <v>2025</v>
      </c>
      <c r="C66" s="18" t="str">
        <f t="shared" si="0"/>
        <v>Aug</v>
      </c>
      <c r="D66" s="4" t="s">
        <v>11</v>
      </c>
      <c r="E66" s="4" t="s">
        <v>13</v>
      </c>
      <c r="F66" s="4">
        <v>115</v>
      </c>
      <c r="G66" s="4" t="s">
        <v>33</v>
      </c>
      <c r="H66" t="s">
        <v>58</v>
      </c>
      <c r="I66" s="6">
        <v>72000</v>
      </c>
      <c r="J66" s="7">
        <v>0.28000000000000003</v>
      </c>
      <c r="K66" s="20">
        <v>0.18</v>
      </c>
      <c r="L66" s="19">
        <v>92160</v>
      </c>
      <c r="M66" s="6">
        <v>84960</v>
      </c>
      <c r="N66" s="19">
        <v>-7200</v>
      </c>
      <c r="O66" s="19">
        <v>5654476800</v>
      </c>
      <c r="P66" s="19">
        <v>5994628920</v>
      </c>
      <c r="Q66" s="4">
        <v>61355</v>
      </c>
      <c r="R66" s="11">
        <v>70558.25</v>
      </c>
      <c r="S66" s="12">
        <v>9203.25</v>
      </c>
      <c r="T66" s="3">
        <f t="shared" si="1"/>
        <v>340152120</v>
      </c>
    </row>
    <row r="67" spans="1:20" x14ac:dyDescent="0.3">
      <c r="A67" s="45">
        <v>45901</v>
      </c>
      <c r="B67">
        <v>2025</v>
      </c>
      <c r="C67" s="18" t="str">
        <f t="shared" ref="C67:C130" si="2">TEXT(A67,"mmm")</f>
        <v>Sep</v>
      </c>
      <c r="D67" t="s">
        <v>11</v>
      </c>
      <c r="E67" t="s">
        <v>13</v>
      </c>
      <c r="F67">
        <v>115</v>
      </c>
      <c r="G67" t="s">
        <v>33</v>
      </c>
      <c r="H67" t="s">
        <v>58</v>
      </c>
      <c r="I67" s="3">
        <v>72000</v>
      </c>
      <c r="J67" s="2">
        <v>0.28000000000000003</v>
      </c>
      <c r="K67" s="20">
        <v>0.18</v>
      </c>
      <c r="L67" s="19">
        <v>92160</v>
      </c>
      <c r="M67" s="3">
        <v>84960</v>
      </c>
      <c r="N67" s="19">
        <v>-7200</v>
      </c>
      <c r="O67" s="19">
        <v>4771399680</v>
      </c>
      <c r="P67" s="19">
        <v>5058429192</v>
      </c>
      <c r="Q67">
        <v>51773</v>
      </c>
      <c r="R67" s="11">
        <v>59538.95</v>
      </c>
      <c r="S67" s="12">
        <v>7765.9499999999971</v>
      </c>
      <c r="T67" s="3">
        <f t="shared" ref="T67:T130" si="3">P67-O67</f>
        <v>287029512</v>
      </c>
    </row>
    <row r="68" spans="1:20" x14ac:dyDescent="0.3">
      <c r="A68" s="46">
        <v>44927</v>
      </c>
      <c r="B68" s="4">
        <v>2023</v>
      </c>
      <c r="C68" s="18" t="str">
        <f t="shared" si="2"/>
        <v>Jan</v>
      </c>
      <c r="D68" s="4" t="s">
        <v>11</v>
      </c>
      <c r="E68" s="4" t="s">
        <v>14</v>
      </c>
      <c r="F68" s="4">
        <v>115</v>
      </c>
      <c r="G68" s="4" t="s">
        <v>33</v>
      </c>
      <c r="H68" t="s">
        <v>58</v>
      </c>
      <c r="I68" s="6">
        <v>68000</v>
      </c>
      <c r="J68" s="7">
        <v>0.28000000000000003</v>
      </c>
      <c r="K68" s="20">
        <v>0.18</v>
      </c>
      <c r="L68" s="19">
        <v>87040</v>
      </c>
      <c r="M68" s="6">
        <v>80240</v>
      </c>
      <c r="N68" s="19">
        <v>-6800</v>
      </c>
      <c r="O68" s="19">
        <v>5512243200</v>
      </c>
      <c r="P68" s="19">
        <v>5843839080</v>
      </c>
      <c r="Q68" s="4">
        <v>63330</v>
      </c>
      <c r="R68" s="11">
        <v>72829.5</v>
      </c>
      <c r="S68" s="12">
        <v>9499.5</v>
      </c>
      <c r="T68" s="3">
        <f t="shared" si="3"/>
        <v>331595880</v>
      </c>
    </row>
    <row r="69" spans="1:20" x14ac:dyDescent="0.3">
      <c r="A69" s="45">
        <v>44958</v>
      </c>
      <c r="B69">
        <v>2023</v>
      </c>
      <c r="C69" s="18" t="str">
        <f t="shared" si="2"/>
        <v>Feb</v>
      </c>
      <c r="D69" t="s">
        <v>11</v>
      </c>
      <c r="E69" t="s">
        <v>14</v>
      </c>
      <c r="F69">
        <v>115</v>
      </c>
      <c r="G69" t="s">
        <v>33</v>
      </c>
      <c r="H69" t="s">
        <v>58</v>
      </c>
      <c r="I69" s="3">
        <v>68000</v>
      </c>
      <c r="J69" s="2">
        <v>0.28000000000000003</v>
      </c>
      <c r="K69" s="20">
        <v>0.18</v>
      </c>
      <c r="L69" s="19">
        <v>87040</v>
      </c>
      <c r="M69" s="3">
        <v>80240</v>
      </c>
      <c r="N69" s="19">
        <v>-6800</v>
      </c>
      <c r="O69" s="19">
        <v>6390302720</v>
      </c>
      <c r="P69" s="19">
        <v>6774719368</v>
      </c>
      <c r="Q69">
        <v>73418</v>
      </c>
      <c r="R69" s="11">
        <v>84430.7</v>
      </c>
      <c r="S69" s="12">
        <v>11012.699999999997</v>
      </c>
      <c r="T69" s="3">
        <f t="shared" si="3"/>
        <v>384416648</v>
      </c>
    </row>
    <row r="70" spans="1:20" x14ac:dyDescent="0.3">
      <c r="A70" s="46">
        <v>44986</v>
      </c>
      <c r="B70" s="4">
        <v>2023</v>
      </c>
      <c r="C70" s="18" t="str">
        <f t="shared" si="2"/>
        <v>Mar</v>
      </c>
      <c r="D70" s="4" t="s">
        <v>11</v>
      </c>
      <c r="E70" s="4" t="s">
        <v>14</v>
      </c>
      <c r="F70" s="4">
        <v>115</v>
      </c>
      <c r="G70" s="4" t="s">
        <v>33</v>
      </c>
      <c r="H70" t="s">
        <v>58</v>
      </c>
      <c r="I70" s="6">
        <v>68000</v>
      </c>
      <c r="J70" s="7">
        <v>0.28000000000000003</v>
      </c>
      <c r="K70" s="20">
        <v>0.18</v>
      </c>
      <c r="L70" s="19">
        <v>87040</v>
      </c>
      <c r="M70" s="6">
        <v>80240</v>
      </c>
      <c r="N70" s="19">
        <v>-6800</v>
      </c>
      <c r="O70" s="19">
        <v>5891650560</v>
      </c>
      <c r="P70" s="19">
        <v>6246070163.999999</v>
      </c>
      <c r="Q70" s="4">
        <v>67689</v>
      </c>
      <c r="R70" s="11">
        <v>77842.349999999991</v>
      </c>
      <c r="S70" s="12">
        <v>10153.349999999991</v>
      </c>
      <c r="T70" s="3">
        <f t="shared" si="3"/>
        <v>354419603.99999905</v>
      </c>
    </row>
    <row r="71" spans="1:20" x14ac:dyDescent="0.3">
      <c r="A71" s="45">
        <v>45017</v>
      </c>
      <c r="B71">
        <v>2023</v>
      </c>
      <c r="C71" s="18" t="str">
        <f t="shared" si="2"/>
        <v>Apr</v>
      </c>
      <c r="D71" t="s">
        <v>11</v>
      </c>
      <c r="E71" t="s">
        <v>14</v>
      </c>
      <c r="F71">
        <v>115</v>
      </c>
      <c r="G71" t="s">
        <v>33</v>
      </c>
      <c r="H71" t="s">
        <v>58</v>
      </c>
      <c r="I71" s="3">
        <v>68000</v>
      </c>
      <c r="J71" s="2">
        <v>0.28000000000000003</v>
      </c>
      <c r="K71" s="20">
        <v>0.18</v>
      </c>
      <c r="L71" s="19">
        <v>87040</v>
      </c>
      <c r="M71" s="3">
        <v>80240</v>
      </c>
      <c r="N71" s="19">
        <v>-6800</v>
      </c>
      <c r="O71" s="19">
        <v>5169131520</v>
      </c>
      <c r="P71" s="19">
        <v>5480087088</v>
      </c>
      <c r="Q71">
        <v>59388</v>
      </c>
      <c r="R71" s="11">
        <v>68296.2</v>
      </c>
      <c r="S71" s="12">
        <v>8908.1999999999971</v>
      </c>
      <c r="T71" s="3">
        <f t="shared" si="3"/>
        <v>310955568</v>
      </c>
    </row>
    <row r="72" spans="1:20" x14ac:dyDescent="0.3">
      <c r="A72" s="46">
        <v>45047</v>
      </c>
      <c r="B72" s="4">
        <v>2023</v>
      </c>
      <c r="C72" s="18" t="str">
        <f t="shared" si="2"/>
        <v>May</v>
      </c>
      <c r="D72" s="4" t="s">
        <v>11</v>
      </c>
      <c r="E72" s="4" t="s">
        <v>14</v>
      </c>
      <c r="F72" s="4">
        <v>115</v>
      </c>
      <c r="G72" s="4" t="s">
        <v>33</v>
      </c>
      <c r="H72" t="s">
        <v>58</v>
      </c>
      <c r="I72" s="6">
        <v>68000</v>
      </c>
      <c r="J72" s="7">
        <v>0.28000000000000003</v>
      </c>
      <c r="K72" s="20">
        <v>0.18</v>
      </c>
      <c r="L72" s="19">
        <v>87040</v>
      </c>
      <c r="M72" s="6">
        <v>80240</v>
      </c>
      <c r="N72" s="19">
        <v>-6800</v>
      </c>
      <c r="O72" s="19">
        <v>5717135360</v>
      </c>
      <c r="P72" s="19">
        <v>6061056783.999999</v>
      </c>
      <c r="Q72" s="4">
        <v>65684</v>
      </c>
      <c r="R72" s="11">
        <v>75536.599999999991</v>
      </c>
      <c r="S72" s="12">
        <v>9852.5999999999913</v>
      </c>
      <c r="T72" s="3">
        <f t="shared" si="3"/>
        <v>343921423.99999905</v>
      </c>
    </row>
    <row r="73" spans="1:20" x14ac:dyDescent="0.3">
      <c r="A73" s="45">
        <v>45078</v>
      </c>
      <c r="B73">
        <v>2023</v>
      </c>
      <c r="C73" s="18" t="str">
        <f t="shared" si="2"/>
        <v>Jun</v>
      </c>
      <c r="D73" t="s">
        <v>11</v>
      </c>
      <c r="E73" t="s">
        <v>14</v>
      </c>
      <c r="F73">
        <v>115</v>
      </c>
      <c r="G73" t="s">
        <v>33</v>
      </c>
      <c r="H73" t="s">
        <v>58</v>
      </c>
      <c r="I73" s="3">
        <v>68000</v>
      </c>
      <c r="J73" s="2">
        <v>0.28000000000000003</v>
      </c>
      <c r="K73" s="20">
        <v>0.18</v>
      </c>
      <c r="L73" s="19">
        <v>87040</v>
      </c>
      <c r="M73" s="3">
        <v>80240</v>
      </c>
      <c r="N73" s="19">
        <v>-6800</v>
      </c>
      <c r="O73" s="19">
        <v>5776148480</v>
      </c>
      <c r="P73" s="19">
        <v>6123619911.999999</v>
      </c>
      <c r="Q73">
        <v>66362</v>
      </c>
      <c r="R73" s="11">
        <v>76316.299999999988</v>
      </c>
      <c r="S73" s="12">
        <v>9954.2999999999884</v>
      </c>
      <c r="T73" s="3">
        <f t="shared" si="3"/>
        <v>347471431.99999905</v>
      </c>
    </row>
    <row r="74" spans="1:20" x14ac:dyDescent="0.3">
      <c r="A74" s="46">
        <v>45108</v>
      </c>
      <c r="B74" s="4">
        <v>2023</v>
      </c>
      <c r="C74" s="18" t="str">
        <f t="shared" si="2"/>
        <v>Jul</v>
      </c>
      <c r="D74" s="4" t="s">
        <v>11</v>
      </c>
      <c r="E74" s="4" t="s">
        <v>14</v>
      </c>
      <c r="F74" s="4">
        <v>115</v>
      </c>
      <c r="G74" s="4" t="s">
        <v>33</v>
      </c>
      <c r="H74" t="s">
        <v>58</v>
      </c>
      <c r="I74" s="6">
        <v>68000</v>
      </c>
      <c r="J74" s="7">
        <v>0.28000000000000003</v>
      </c>
      <c r="K74" s="20">
        <v>0.18</v>
      </c>
      <c r="L74" s="19">
        <v>87040</v>
      </c>
      <c r="M74" s="6">
        <v>80240</v>
      </c>
      <c r="N74" s="19">
        <v>-6800</v>
      </c>
      <c r="O74" s="19">
        <v>4799385600</v>
      </c>
      <c r="P74" s="19">
        <v>5088098639.999999</v>
      </c>
      <c r="Q74" s="4">
        <v>55140</v>
      </c>
      <c r="R74" s="11">
        <v>63410.999999999993</v>
      </c>
      <c r="S74" s="12">
        <v>8270.9999999999927</v>
      </c>
      <c r="T74" s="3">
        <f t="shared" si="3"/>
        <v>288713039.99999905</v>
      </c>
    </row>
    <row r="75" spans="1:20" x14ac:dyDescent="0.3">
      <c r="A75" s="45">
        <v>45139</v>
      </c>
      <c r="B75">
        <v>2023</v>
      </c>
      <c r="C75" s="18" t="str">
        <f t="shared" si="2"/>
        <v>Aug</v>
      </c>
      <c r="D75" t="s">
        <v>11</v>
      </c>
      <c r="E75" t="s">
        <v>14</v>
      </c>
      <c r="F75">
        <v>115</v>
      </c>
      <c r="G75" t="s">
        <v>33</v>
      </c>
      <c r="H75" t="s">
        <v>58</v>
      </c>
      <c r="I75" s="3">
        <v>68000</v>
      </c>
      <c r="J75" s="2">
        <v>0.28000000000000003</v>
      </c>
      <c r="K75" s="20">
        <v>0.18</v>
      </c>
      <c r="L75" s="19">
        <v>87040</v>
      </c>
      <c r="M75" s="3">
        <v>80240</v>
      </c>
      <c r="N75" s="19">
        <v>-6800</v>
      </c>
      <c r="O75" s="19">
        <v>3994091520</v>
      </c>
      <c r="P75" s="19">
        <v>4234361088</v>
      </c>
      <c r="Q75">
        <v>45888</v>
      </c>
      <c r="R75" s="11">
        <v>52771.199999999997</v>
      </c>
      <c r="S75" s="12">
        <v>6883.1999999999971</v>
      </c>
      <c r="T75" s="3">
        <f t="shared" si="3"/>
        <v>240269568</v>
      </c>
    </row>
    <row r="76" spans="1:20" x14ac:dyDescent="0.3">
      <c r="A76" s="46">
        <v>45170</v>
      </c>
      <c r="B76" s="4">
        <v>2023</v>
      </c>
      <c r="C76" s="18" t="str">
        <f t="shared" si="2"/>
        <v>Sep</v>
      </c>
      <c r="D76" s="4" t="s">
        <v>11</v>
      </c>
      <c r="E76" s="4" t="s">
        <v>14</v>
      </c>
      <c r="F76" s="4">
        <v>115</v>
      </c>
      <c r="G76" s="4" t="s">
        <v>33</v>
      </c>
      <c r="H76" t="s">
        <v>58</v>
      </c>
      <c r="I76" s="6">
        <v>68000</v>
      </c>
      <c r="J76" s="7">
        <v>0.28000000000000003</v>
      </c>
      <c r="K76" s="20">
        <v>0.18</v>
      </c>
      <c r="L76" s="19">
        <v>87040</v>
      </c>
      <c r="M76" s="6">
        <v>80240</v>
      </c>
      <c r="N76" s="19">
        <v>-6800</v>
      </c>
      <c r="O76" s="19">
        <v>5309614080</v>
      </c>
      <c r="P76" s="19">
        <v>5629020551.999999</v>
      </c>
      <c r="Q76" s="4">
        <v>61002</v>
      </c>
      <c r="R76" s="11">
        <v>70152.299999999988</v>
      </c>
      <c r="S76" s="12">
        <v>9150.2999999999884</v>
      </c>
      <c r="T76" s="3">
        <f t="shared" si="3"/>
        <v>319406471.99999905</v>
      </c>
    </row>
    <row r="77" spans="1:20" x14ac:dyDescent="0.3">
      <c r="A77" s="45">
        <v>45200</v>
      </c>
      <c r="B77">
        <v>2023</v>
      </c>
      <c r="C77" s="18" t="str">
        <f t="shared" si="2"/>
        <v>Oct</v>
      </c>
      <c r="D77" t="s">
        <v>11</v>
      </c>
      <c r="E77" t="s">
        <v>14</v>
      </c>
      <c r="F77">
        <v>115</v>
      </c>
      <c r="G77" t="s">
        <v>33</v>
      </c>
      <c r="H77" t="s">
        <v>58</v>
      </c>
      <c r="I77" s="3">
        <v>68000</v>
      </c>
      <c r="J77" s="2">
        <v>0.28000000000000003</v>
      </c>
      <c r="K77" s="20">
        <v>0.18</v>
      </c>
      <c r="L77" s="19">
        <v>87040</v>
      </c>
      <c r="M77" s="3">
        <v>80240</v>
      </c>
      <c r="N77" s="19">
        <v>-6800</v>
      </c>
      <c r="O77" s="19">
        <v>4881551360</v>
      </c>
      <c r="P77" s="19">
        <v>5175207184</v>
      </c>
      <c r="Q77">
        <v>56084</v>
      </c>
      <c r="R77" s="11">
        <v>64496.6</v>
      </c>
      <c r="S77" s="12">
        <v>8412.5999999999985</v>
      </c>
      <c r="T77" s="3">
        <f t="shared" si="3"/>
        <v>293655824</v>
      </c>
    </row>
    <row r="78" spans="1:20" x14ac:dyDescent="0.3">
      <c r="A78" s="46">
        <v>45231</v>
      </c>
      <c r="B78" s="4">
        <v>2023</v>
      </c>
      <c r="C78" s="18" t="str">
        <f t="shared" si="2"/>
        <v>Nov</v>
      </c>
      <c r="D78" s="4" t="s">
        <v>11</v>
      </c>
      <c r="E78" s="4" t="s">
        <v>14</v>
      </c>
      <c r="F78" s="4">
        <v>115</v>
      </c>
      <c r="G78" s="4" t="s">
        <v>33</v>
      </c>
      <c r="H78" t="s">
        <v>58</v>
      </c>
      <c r="I78" s="6">
        <v>68000</v>
      </c>
      <c r="J78" s="7">
        <v>0.28000000000000003</v>
      </c>
      <c r="K78" s="20">
        <v>0.18</v>
      </c>
      <c r="L78" s="19">
        <v>87040</v>
      </c>
      <c r="M78" s="6">
        <v>80240</v>
      </c>
      <c r="N78" s="19">
        <v>-6800</v>
      </c>
      <c r="O78" s="19">
        <v>4680750080</v>
      </c>
      <c r="P78" s="19">
        <v>4962326452</v>
      </c>
      <c r="Q78" s="4">
        <v>53777</v>
      </c>
      <c r="R78" s="11">
        <v>61843.549999999996</v>
      </c>
      <c r="S78" s="12">
        <v>8066.5499999999956</v>
      </c>
      <c r="T78" s="3">
        <f t="shared" si="3"/>
        <v>281576372</v>
      </c>
    </row>
    <row r="79" spans="1:20" x14ac:dyDescent="0.3">
      <c r="A79" s="45">
        <v>45261</v>
      </c>
      <c r="B79">
        <v>2023</v>
      </c>
      <c r="C79" s="18" t="str">
        <f t="shared" si="2"/>
        <v>Dec</v>
      </c>
      <c r="D79" t="s">
        <v>11</v>
      </c>
      <c r="E79" t="s">
        <v>14</v>
      </c>
      <c r="F79">
        <v>115</v>
      </c>
      <c r="G79" t="s">
        <v>33</v>
      </c>
      <c r="H79" t="s">
        <v>58</v>
      </c>
      <c r="I79" s="3">
        <v>68000</v>
      </c>
      <c r="J79" s="2">
        <v>0.28000000000000003</v>
      </c>
      <c r="K79" s="20">
        <v>0.18</v>
      </c>
      <c r="L79" s="19">
        <v>87040</v>
      </c>
      <c r="M79" s="3">
        <v>80240</v>
      </c>
      <c r="N79" s="19">
        <v>-6800</v>
      </c>
      <c r="O79" s="19">
        <v>5654553600</v>
      </c>
      <c r="P79" s="19">
        <v>5994710340</v>
      </c>
      <c r="Q79">
        <v>64965</v>
      </c>
      <c r="R79" s="11">
        <v>74709.75</v>
      </c>
      <c r="S79" s="12">
        <v>9744.75</v>
      </c>
      <c r="T79" s="3">
        <f t="shared" si="3"/>
        <v>340156740</v>
      </c>
    </row>
    <row r="80" spans="1:20" x14ac:dyDescent="0.3">
      <c r="A80" s="46">
        <v>45292</v>
      </c>
      <c r="B80" s="4">
        <v>2024</v>
      </c>
      <c r="C80" s="18" t="str">
        <f t="shared" si="2"/>
        <v>Jan</v>
      </c>
      <c r="D80" s="4" t="s">
        <v>11</v>
      </c>
      <c r="E80" s="4" t="s">
        <v>14</v>
      </c>
      <c r="F80" s="4">
        <v>115</v>
      </c>
      <c r="G80" s="4" t="s">
        <v>33</v>
      </c>
      <c r="H80" t="s">
        <v>58</v>
      </c>
      <c r="I80" s="6">
        <v>68000</v>
      </c>
      <c r="J80" s="7">
        <v>0.28000000000000003</v>
      </c>
      <c r="K80" s="20">
        <v>0.18</v>
      </c>
      <c r="L80" s="19">
        <v>87040</v>
      </c>
      <c r="M80" s="6">
        <v>80240</v>
      </c>
      <c r="N80" s="19">
        <v>-6800</v>
      </c>
      <c r="O80" s="19">
        <v>5878768640</v>
      </c>
      <c r="P80" s="19">
        <v>6232413316</v>
      </c>
      <c r="Q80" s="4">
        <v>67541</v>
      </c>
      <c r="R80" s="11">
        <v>77672.149999999994</v>
      </c>
      <c r="S80" s="12">
        <v>10131.149999999994</v>
      </c>
      <c r="T80" s="3">
        <f t="shared" si="3"/>
        <v>353644676</v>
      </c>
    </row>
    <row r="81" spans="1:20" x14ac:dyDescent="0.3">
      <c r="A81" s="45">
        <v>45323</v>
      </c>
      <c r="B81">
        <v>2024</v>
      </c>
      <c r="C81" s="18" t="str">
        <f t="shared" si="2"/>
        <v>Feb</v>
      </c>
      <c r="D81" t="s">
        <v>11</v>
      </c>
      <c r="E81" t="s">
        <v>14</v>
      </c>
      <c r="F81">
        <v>115</v>
      </c>
      <c r="G81" t="s">
        <v>33</v>
      </c>
      <c r="H81" t="s">
        <v>58</v>
      </c>
      <c r="I81" s="3">
        <v>68000</v>
      </c>
      <c r="J81" s="2">
        <v>0.28000000000000003</v>
      </c>
      <c r="K81" s="20">
        <v>0.18</v>
      </c>
      <c r="L81" s="19">
        <v>87040</v>
      </c>
      <c r="M81" s="3">
        <v>80240</v>
      </c>
      <c r="N81" s="19">
        <v>-6800</v>
      </c>
      <c r="O81" s="19">
        <v>6320583680</v>
      </c>
      <c r="P81" s="19">
        <v>6700806291.999999</v>
      </c>
      <c r="Q81">
        <v>72617</v>
      </c>
      <c r="R81" s="11">
        <v>83509.549999999988</v>
      </c>
      <c r="S81" s="12">
        <v>10892.549999999988</v>
      </c>
      <c r="T81" s="3">
        <f t="shared" si="3"/>
        <v>380222611.99999905</v>
      </c>
    </row>
    <row r="82" spans="1:20" x14ac:dyDescent="0.3">
      <c r="A82" s="46">
        <v>45352</v>
      </c>
      <c r="B82" s="4">
        <v>2024</v>
      </c>
      <c r="C82" s="18" t="str">
        <f t="shared" si="2"/>
        <v>Mar</v>
      </c>
      <c r="D82" s="4" t="s">
        <v>11</v>
      </c>
      <c r="E82" s="4" t="s">
        <v>14</v>
      </c>
      <c r="F82" s="4">
        <v>115</v>
      </c>
      <c r="G82" s="4" t="s">
        <v>33</v>
      </c>
      <c r="H82" t="s">
        <v>58</v>
      </c>
      <c r="I82" s="6">
        <v>68000</v>
      </c>
      <c r="J82" s="7">
        <v>0.28000000000000003</v>
      </c>
      <c r="K82" s="20">
        <v>0.18</v>
      </c>
      <c r="L82" s="19">
        <v>87040</v>
      </c>
      <c r="M82" s="6">
        <v>80240</v>
      </c>
      <c r="N82" s="19">
        <v>-6800</v>
      </c>
      <c r="O82" s="19">
        <v>5770752000</v>
      </c>
      <c r="P82" s="19">
        <v>6117898800</v>
      </c>
      <c r="Q82" s="4">
        <v>66300</v>
      </c>
      <c r="R82" s="11">
        <v>76245</v>
      </c>
      <c r="S82" s="12">
        <v>9945</v>
      </c>
      <c r="T82" s="3">
        <f t="shared" si="3"/>
        <v>347146800</v>
      </c>
    </row>
    <row r="83" spans="1:20" x14ac:dyDescent="0.3">
      <c r="A83" s="45">
        <v>45383</v>
      </c>
      <c r="B83">
        <v>2024</v>
      </c>
      <c r="C83" s="18" t="str">
        <f t="shared" si="2"/>
        <v>Apr</v>
      </c>
      <c r="D83" t="s">
        <v>11</v>
      </c>
      <c r="E83" t="s">
        <v>14</v>
      </c>
      <c r="F83">
        <v>115</v>
      </c>
      <c r="G83" t="s">
        <v>33</v>
      </c>
      <c r="H83" t="s">
        <v>58</v>
      </c>
      <c r="I83" s="3">
        <v>68000</v>
      </c>
      <c r="J83" s="2">
        <v>0.28000000000000003</v>
      </c>
      <c r="K83" s="20">
        <v>0.18</v>
      </c>
      <c r="L83" s="19">
        <v>87040</v>
      </c>
      <c r="M83" s="3">
        <v>80240</v>
      </c>
      <c r="N83" s="19">
        <v>-6800</v>
      </c>
      <c r="O83" s="19">
        <v>5407969280</v>
      </c>
      <c r="P83" s="19">
        <v>5733292431.999999</v>
      </c>
      <c r="Q83">
        <v>62132</v>
      </c>
      <c r="R83" s="11">
        <v>71451.799999999988</v>
      </c>
      <c r="S83" s="12">
        <v>9319.7999999999884</v>
      </c>
      <c r="T83" s="3">
        <f t="shared" si="3"/>
        <v>325323151.99999905</v>
      </c>
    </row>
    <row r="84" spans="1:20" x14ac:dyDescent="0.3">
      <c r="A84" s="46">
        <v>45413</v>
      </c>
      <c r="B84" s="4">
        <v>2024</v>
      </c>
      <c r="C84" s="18" t="str">
        <f t="shared" si="2"/>
        <v>May</v>
      </c>
      <c r="D84" s="4" t="s">
        <v>11</v>
      </c>
      <c r="E84" s="4" t="s">
        <v>14</v>
      </c>
      <c r="F84" s="4">
        <v>115</v>
      </c>
      <c r="G84" s="4" t="s">
        <v>33</v>
      </c>
      <c r="H84" t="s">
        <v>58</v>
      </c>
      <c r="I84" s="6">
        <v>68000</v>
      </c>
      <c r="J84" s="7">
        <v>0.28000000000000003</v>
      </c>
      <c r="K84" s="20">
        <v>0.18</v>
      </c>
      <c r="L84" s="19">
        <v>87040</v>
      </c>
      <c r="M84" s="6">
        <v>80240</v>
      </c>
      <c r="N84" s="19">
        <v>-6800</v>
      </c>
      <c r="O84" s="19">
        <v>4905487360</v>
      </c>
      <c r="P84" s="19">
        <v>5200583084</v>
      </c>
      <c r="Q84" s="4">
        <v>56359</v>
      </c>
      <c r="R84" s="11">
        <v>64812.85</v>
      </c>
      <c r="S84" s="12">
        <v>8453.8499999999985</v>
      </c>
      <c r="T84" s="3">
        <f t="shared" si="3"/>
        <v>295095724</v>
      </c>
    </row>
    <row r="85" spans="1:20" x14ac:dyDescent="0.3">
      <c r="A85" s="45">
        <v>45444</v>
      </c>
      <c r="B85">
        <v>2024</v>
      </c>
      <c r="C85" s="18" t="str">
        <f t="shared" si="2"/>
        <v>Jun</v>
      </c>
      <c r="D85" t="s">
        <v>11</v>
      </c>
      <c r="E85" t="s">
        <v>14</v>
      </c>
      <c r="F85">
        <v>115</v>
      </c>
      <c r="G85" t="s">
        <v>33</v>
      </c>
      <c r="H85" t="s">
        <v>58</v>
      </c>
      <c r="I85" s="3">
        <v>68000</v>
      </c>
      <c r="J85" s="2">
        <v>0.28000000000000003</v>
      </c>
      <c r="K85" s="20">
        <v>0.18</v>
      </c>
      <c r="L85" s="19">
        <v>87040</v>
      </c>
      <c r="M85" s="3">
        <v>80240</v>
      </c>
      <c r="N85" s="19">
        <v>-6800</v>
      </c>
      <c r="O85" s="19">
        <v>4520074240</v>
      </c>
      <c r="P85" s="19">
        <v>4791984956</v>
      </c>
      <c r="Q85">
        <v>51931</v>
      </c>
      <c r="R85" s="11">
        <v>59720.649999999994</v>
      </c>
      <c r="S85" s="12">
        <v>7789.6499999999942</v>
      </c>
      <c r="T85" s="3">
        <f t="shared" si="3"/>
        <v>271910716</v>
      </c>
    </row>
    <row r="86" spans="1:20" x14ac:dyDescent="0.3">
      <c r="A86" s="46">
        <v>45474</v>
      </c>
      <c r="B86" s="4">
        <v>2024</v>
      </c>
      <c r="C86" s="18" t="str">
        <f t="shared" si="2"/>
        <v>Jul</v>
      </c>
      <c r="D86" s="4" t="s">
        <v>11</v>
      </c>
      <c r="E86" s="4" t="s">
        <v>14</v>
      </c>
      <c r="F86" s="4">
        <v>115</v>
      </c>
      <c r="G86" s="4" t="s">
        <v>33</v>
      </c>
      <c r="H86" t="s">
        <v>58</v>
      </c>
      <c r="I86" s="6">
        <v>68000</v>
      </c>
      <c r="J86" s="7">
        <v>0.28000000000000003</v>
      </c>
      <c r="K86" s="20">
        <v>0.18</v>
      </c>
      <c r="L86" s="19">
        <v>87040</v>
      </c>
      <c r="M86" s="6">
        <v>80240</v>
      </c>
      <c r="N86" s="19">
        <v>-6800</v>
      </c>
      <c r="O86" s="19">
        <v>4762045440</v>
      </c>
      <c r="P86" s="19">
        <v>5048512236</v>
      </c>
      <c r="Q86" s="4">
        <v>54711</v>
      </c>
      <c r="R86" s="11">
        <v>62917.649999999994</v>
      </c>
      <c r="S86" s="12">
        <v>8206.6499999999942</v>
      </c>
      <c r="T86" s="3">
        <f t="shared" si="3"/>
        <v>286466796</v>
      </c>
    </row>
    <row r="87" spans="1:20" x14ac:dyDescent="0.3">
      <c r="A87" s="45">
        <v>45505</v>
      </c>
      <c r="B87">
        <v>2024</v>
      </c>
      <c r="C87" s="18" t="str">
        <f t="shared" si="2"/>
        <v>Aug</v>
      </c>
      <c r="D87" t="s">
        <v>11</v>
      </c>
      <c r="E87" t="s">
        <v>14</v>
      </c>
      <c r="F87">
        <v>115</v>
      </c>
      <c r="G87" t="s">
        <v>33</v>
      </c>
      <c r="H87" t="s">
        <v>58</v>
      </c>
      <c r="I87" s="3">
        <v>68000</v>
      </c>
      <c r="J87" s="2">
        <v>0.28000000000000003</v>
      </c>
      <c r="K87" s="20">
        <v>0.18</v>
      </c>
      <c r="L87" s="19">
        <v>87040</v>
      </c>
      <c r="M87" s="3">
        <v>80240</v>
      </c>
      <c r="N87" s="19">
        <v>-6800</v>
      </c>
      <c r="O87" s="19">
        <v>4304128000</v>
      </c>
      <c r="P87" s="19">
        <v>4563048199.999999</v>
      </c>
      <c r="Q87">
        <v>49450</v>
      </c>
      <c r="R87" s="11">
        <v>56867.499999999993</v>
      </c>
      <c r="S87" s="12">
        <v>7417.4999999999927</v>
      </c>
      <c r="T87" s="3">
        <f t="shared" si="3"/>
        <v>258920199.99999905</v>
      </c>
    </row>
    <row r="88" spans="1:20" x14ac:dyDescent="0.3">
      <c r="A88" s="46">
        <v>45536</v>
      </c>
      <c r="B88" s="4">
        <v>2024</v>
      </c>
      <c r="C88" s="18" t="str">
        <f t="shared" si="2"/>
        <v>Sep</v>
      </c>
      <c r="D88" s="4" t="s">
        <v>11</v>
      </c>
      <c r="E88" s="4" t="s">
        <v>14</v>
      </c>
      <c r="F88" s="4">
        <v>115</v>
      </c>
      <c r="G88" s="4" t="s">
        <v>33</v>
      </c>
      <c r="H88" t="s">
        <v>58</v>
      </c>
      <c r="I88" s="6">
        <v>68000</v>
      </c>
      <c r="J88" s="7">
        <v>0.28000000000000003</v>
      </c>
      <c r="K88" s="20">
        <v>0.18</v>
      </c>
      <c r="L88" s="19">
        <v>87040</v>
      </c>
      <c r="M88" s="6">
        <v>80240</v>
      </c>
      <c r="N88" s="19">
        <v>-6800</v>
      </c>
      <c r="O88" s="19">
        <v>5124392960</v>
      </c>
      <c r="P88" s="19">
        <v>5432657223.999999</v>
      </c>
      <c r="Q88" s="4">
        <v>58874</v>
      </c>
      <c r="R88" s="11">
        <v>67705.099999999991</v>
      </c>
      <c r="S88" s="12">
        <v>8831.0999999999913</v>
      </c>
      <c r="T88" s="3">
        <f t="shared" si="3"/>
        <v>308264263.99999905</v>
      </c>
    </row>
    <row r="89" spans="1:20" x14ac:dyDescent="0.3">
      <c r="A89" s="45">
        <v>45566</v>
      </c>
      <c r="B89">
        <v>2024</v>
      </c>
      <c r="C89" s="18" t="str">
        <f t="shared" si="2"/>
        <v>Oct</v>
      </c>
      <c r="D89" t="s">
        <v>11</v>
      </c>
      <c r="E89" t="s">
        <v>14</v>
      </c>
      <c r="F89">
        <v>115</v>
      </c>
      <c r="G89" t="s">
        <v>33</v>
      </c>
      <c r="H89" t="s">
        <v>58</v>
      </c>
      <c r="I89" s="3">
        <v>68000</v>
      </c>
      <c r="J89" s="2">
        <v>0.28000000000000003</v>
      </c>
      <c r="K89" s="20">
        <v>0.18</v>
      </c>
      <c r="L89" s="19">
        <v>87040</v>
      </c>
      <c r="M89" s="3">
        <v>80240</v>
      </c>
      <c r="N89" s="19">
        <v>-6800</v>
      </c>
      <c r="O89" s="19">
        <v>4665692160</v>
      </c>
      <c r="P89" s="19">
        <v>4946362704</v>
      </c>
      <c r="Q89">
        <v>53604</v>
      </c>
      <c r="R89" s="11">
        <v>61644.6</v>
      </c>
      <c r="S89" s="12">
        <v>8040.5999999999985</v>
      </c>
      <c r="T89" s="3">
        <f t="shared" si="3"/>
        <v>280670544</v>
      </c>
    </row>
    <row r="90" spans="1:20" x14ac:dyDescent="0.3">
      <c r="A90" s="46">
        <v>45597</v>
      </c>
      <c r="B90" s="4">
        <v>2024</v>
      </c>
      <c r="C90" s="18" t="str">
        <f t="shared" si="2"/>
        <v>Nov</v>
      </c>
      <c r="D90" s="4" t="s">
        <v>11</v>
      </c>
      <c r="E90" s="4" t="s">
        <v>14</v>
      </c>
      <c r="F90" s="4">
        <v>115</v>
      </c>
      <c r="G90" s="4" t="s">
        <v>33</v>
      </c>
      <c r="H90" t="s">
        <v>58</v>
      </c>
      <c r="I90" s="6">
        <v>68000</v>
      </c>
      <c r="J90" s="7">
        <v>0.28000000000000003</v>
      </c>
      <c r="K90" s="20">
        <v>0.18</v>
      </c>
      <c r="L90" s="19">
        <v>87040</v>
      </c>
      <c r="M90" s="6">
        <v>80240</v>
      </c>
      <c r="N90" s="19">
        <v>-6800</v>
      </c>
      <c r="O90" s="19">
        <v>4958668800</v>
      </c>
      <c r="P90" s="19">
        <v>5256963719.999999</v>
      </c>
      <c r="Q90" s="4">
        <v>56970</v>
      </c>
      <c r="R90" s="11">
        <v>65515.499999999993</v>
      </c>
      <c r="S90" s="12">
        <v>8545.4999999999927</v>
      </c>
      <c r="T90" s="3">
        <f t="shared" si="3"/>
        <v>298294919.99999905</v>
      </c>
    </row>
    <row r="91" spans="1:20" x14ac:dyDescent="0.3">
      <c r="A91" s="45">
        <v>45627</v>
      </c>
      <c r="B91">
        <v>2024</v>
      </c>
      <c r="C91" s="18" t="str">
        <f t="shared" si="2"/>
        <v>Dec</v>
      </c>
      <c r="D91" t="s">
        <v>11</v>
      </c>
      <c r="E91" t="s">
        <v>14</v>
      </c>
      <c r="F91">
        <v>115</v>
      </c>
      <c r="G91" t="s">
        <v>33</v>
      </c>
      <c r="H91" t="s">
        <v>58</v>
      </c>
      <c r="I91" s="3">
        <v>68000</v>
      </c>
      <c r="J91" s="2">
        <v>0.28000000000000003</v>
      </c>
      <c r="K91" s="20">
        <v>0.18</v>
      </c>
      <c r="L91" s="19">
        <v>87040</v>
      </c>
      <c r="M91" s="3">
        <v>80240</v>
      </c>
      <c r="N91" s="19">
        <v>-6800</v>
      </c>
      <c r="O91" s="19">
        <v>4933601280</v>
      </c>
      <c r="P91" s="19">
        <v>5230388232</v>
      </c>
      <c r="Q91">
        <v>56682</v>
      </c>
      <c r="R91" s="11">
        <v>65184.299999999996</v>
      </c>
      <c r="S91" s="12">
        <v>8502.2999999999956</v>
      </c>
      <c r="T91" s="3">
        <f t="shared" si="3"/>
        <v>296786952</v>
      </c>
    </row>
    <row r="92" spans="1:20" x14ac:dyDescent="0.3">
      <c r="A92" s="46">
        <v>45658</v>
      </c>
      <c r="B92" s="4">
        <v>2025</v>
      </c>
      <c r="C92" s="18" t="str">
        <f t="shared" si="2"/>
        <v>Jan</v>
      </c>
      <c r="D92" s="4" t="s">
        <v>11</v>
      </c>
      <c r="E92" s="4" t="s">
        <v>14</v>
      </c>
      <c r="F92" s="4">
        <v>115</v>
      </c>
      <c r="G92" s="4" t="s">
        <v>33</v>
      </c>
      <c r="H92" t="s">
        <v>58</v>
      </c>
      <c r="I92" s="6">
        <v>68000</v>
      </c>
      <c r="J92" s="7">
        <v>0.28000000000000003</v>
      </c>
      <c r="K92" s="20">
        <v>0.18</v>
      </c>
      <c r="L92" s="19">
        <v>87040</v>
      </c>
      <c r="M92" s="6">
        <v>80240</v>
      </c>
      <c r="N92" s="19">
        <v>-6800</v>
      </c>
      <c r="O92" s="19">
        <v>5932559360</v>
      </c>
      <c r="P92" s="19">
        <v>6289439883.999999</v>
      </c>
      <c r="Q92" s="4">
        <v>68159</v>
      </c>
      <c r="R92" s="11">
        <v>78382.849999999991</v>
      </c>
      <c r="S92" s="12">
        <v>10223.849999999991</v>
      </c>
      <c r="T92" s="3">
        <f t="shared" si="3"/>
        <v>356880523.99999905</v>
      </c>
    </row>
    <row r="93" spans="1:20" x14ac:dyDescent="0.3">
      <c r="A93" s="45">
        <v>45689</v>
      </c>
      <c r="B93">
        <v>2025</v>
      </c>
      <c r="C93" s="18" t="str">
        <f t="shared" si="2"/>
        <v>Feb</v>
      </c>
      <c r="D93" t="s">
        <v>11</v>
      </c>
      <c r="E93" t="s">
        <v>14</v>
      </c>
      <c r="F93">
        <v>115</v>
      </c>
      <c r="G93" t="s">
        <v>33</v>
      </c>
      <c r="H93" t="s">
        <v>58</v>
      </c>
      <c r="I93" s="3">
        <v>68000</v>
      </c>
      <c r="J93" s="2">
        <v>0.28000000000000003</v>
      </c>
      <c r="K93" s="20">
        <v>0.18</v>
      </c>
      <c r="L93" s="19">
        <v>87040</v>
      </c>
      <c r="M93" s="3">
        <v>80240</v>
      </c>
      <c r="N93" s="19">
        <v>-6800</v>
      </c>
      <c r="O93" s="19">
        <v>5436779520</v>
      </c>
      <c r="P93" s="19">
        <v>5763835788</v>
      </c>
      <c r="Q93">
        <v>62463</v>
      </c>
      <c r="R93" s="11">
        <v>71832.45</v>
      </c>
      <c r="S93" s="12">
        <v>9369.4499999999971</v>
      </c>
      <c r="T93" s="3">
        <f t="shared" si="3"/>
        <v>327056268</v>
      </c>
    </row>
    <row r="94" spans="1:20" x14ac:dyDescent="0.3">
      <c r="A94" s="46">
        <v>45717</v>
      </c>
      <c r="B94" s="4">
        <v>2025</v>
      </c>
      <c r="C94" s="18" t="str">
        <f t="shared" si="2"/>
        <v>Mar</v>
      </c>
      <c r="D94" s="4" t="s">
        <v>11</v>
      </c>
      <c r="E94" s="4" t="s">
        <v>14</v>
      </c>
      <c r="F94" s="4">
        <v>115</v>
      </c>
      <c r="G94" s="4" t="s">
        <v>33</v>
      </c>
      <c r="H94" t="s">
        <v>58</v>
      </c>
      <c r="I94" s="6">
        <v>68000</v>
      </c>
      <c r="J94" s="7">
        <v>0.28000000000000003</v>
      </c>
      <c r="K94" s="20">
        <v>0.18</v>
      </c>
      <c r="L94" s="19">
        <v>87040</v>
      </c>
      <c r="M94" s="6">
        <v>80240</v>
      </c>
      <c r="N94" s="19">
        <v>-6800</v>
      </c>
      <c r="O94" s="19">
        <v>5783633920</v>
      </c>
      <c r="P94" s="19">
        <v>6131555648</v>
      </c>
      <c r="Q94" s="4">
        <v>66448</v>
      </c>
      <c r="R94" s="11">
        <v>76415.199999999997</v>
      </c>
      <c r="S94" s="12">
        <v>9967.1999999999971</v>
      </c>
      <c r="T94" s="3">
        <f t="shared" si="3"/>
        <v>347921728</v>
      </c>
    </row>
    <row r="95" spans="1:20" x14ac:dyDescent="0.3">
      <c r="A95" s="45">
        <v>45748</v>
      </c>
      <c r="B95">
        <v>2025</v>
      </c>
      <c r="C95" s="18" t="str">
        <f t="shared" si="2"/>
        <v>Apr</v>
      </c>
      <c r="D95" t="s">
        <v>11</v>
      </c>
      <c r="E95" t="s">
        <v>14</v>
      </c>
      <c r="F95">
        <v>115</v>
      </c>
      <c r="G95" t="s">
        <v>33</v>
      </c>
      <c r="H95" t="s">
        <v>58</v>
      </c>
      <c r="I95" s="3">
        <v>68000</v>
      </c>
      <c r="J95" s="2">
        <v>0.28000000000000003</v>
      </c>
      <c r="K95" s="20">
        <v>0.18</v>
      </c>
      <c r="L95" s="19">
        <v>87040</v>
      </c>
      <c r="M95" s="3">
        <v>80240</v>
      </c>
      <c r="N95" s="19">
        <v>-6800</v>
      </c>
      <c r="O95" s="19">
        <v>6278717440</v>
      </c>
      <c r="P95" s="19">
        <v>6656421536</v>
      </c>
      <c r="Q95">
        <v>72136</v>
      </c>
      <c r="R95" s="11">
        <v>82956.399999999994</v>
      </c>
      <c r="S95" s="12">
        <v>10820.399999999994</v>
      </c>
      <c r="T95" s="3">
        <f t="shared" si="3"/>
        <v>377704096</v>
      </c>
    </row>
    <row r="96" spans="1:20" x14ac:dyDescent="0.3">
      <c r="A96" s="46">
        <v>45778</v>
      </c>
      <c r="B96" s="4">
        <v>2025</v>
      </c>
      <c r="C96" s="18" t="str">
        <f t="shared" si="2"/>
        <v>May</v>
      </c>
      <c r="D96" s="4" t="s">
        <v>11</v>
      </c>
      <c r="E96" s="4" t="s">
        <v>14</v>
      </c>
      <c r="F96" s="4">
        <v>115</v>
      </c>
      <c r="G96" s="4" t="s">
        <v>33</v>
      </c>
      <c r="H96" t="s">
        <v>58</v>
      </c>
      <c r="I96" s="6">
        <v>68000</v>
      </c>
      <c r="J96" s="7">
        <v>0.28000000000000003</v>
      </c>
      <c r="K96" s="20">
        <v>0.18</v>
      </c>
      <c r="L96" s="19">
        <v>87040</v>
      </c>
      <c r="M96" s="6">
        <v>80240</v>
      </c>
      <c r="N96" s="19">
        <v>-6800</v>
      </c>
      <c r="O96" s="19">
        <v>5529477120</v>
      </c>
      <c r="P96" s="19">
        <v>5862109728</v>
      </c>
      <c r="Q96" s="4">
        <v>63528</v>
      </c>
      <c r="R96" s="11">
        <v>73057.2</v>
      </c>
      <c r="S96" s="12">
        <v>9529.1999999999971</v>
      </c>
      <c r="T96" s="3">
        <f t="shared" si="3"/>
        <v>332632608</v>
      </c>
    </row>
    <row r="97" spans="1:20" x14ac:dyDescent="0.3">
      <c r="A97" s="45">
        <v>45809</v>
      </c>
      <c r="B97">
        <v>2025</v>
      </c>
      <c r="C97" s="18" t="str">
        <f t="shared" si="2"/>
        <v>Jun</v>
      </c>
      <c r="D97" t="s">
        <v>11</v>
      </c>
      <c r="E97" t="s">
        <v>14</v>
      </c>
      <c r="F97">
        <v>115</v>
      </c>
      <c r="G97" t="s">
        <v>33</v>
      </c>
      <c r="H97" t="s">
        <v>58</v>
      </c>
      <c r="I97" s="3">
        <v>68000</v>
      </c>
      <c r="J97" s="2">
        <v>0.28000000000000003</v>
      </c>
      <c r="K97" s="20">
        <v>0.18</v>
      </c>
      <c r="L97" s="19">
        <v>87040</v>
      </c>
      <c r="M97" s="3">
        <v>80240</v>
      </c>
      <c r="N97" s="19">
        <v>-6800</v>
      </c>
      <c r="O97" s="19">
        <v>4782586880</v>
      </c>
      <c r="P97" s="19">
        <v>5070289372</v>
      </c>
      <c r="Q97">
        <v>54947</v>
      </c>
      <c r="R97" s="11">
        <v>63189.049999999996</v>
      </c>
      <c r="S97" s="12">
        <v>8242.0499999999956</v>
      </c>
      <c r="T97" s="3">
        <f t="shared" si="3"/>
        <v>287702492</v>
      </c>
    </row>
    <row r="98" spans="1:20" x14ac:dyDescent="0.3">
      <c r="A98" s="46">
        <v>45839</v>
      </c>
      <c r="B98" s="4">
        <v>2025</v>
      </c>
      <c r="C98" s="18" t="str">
        <f t="shared" si="2"/>
        <v>Jul</v>
      </c>
      <c r="D98" s="4" t="s">
        <v>11</v>
      </c>
      <c r="E98" s="4" t="s">
        <v>14</v>
      </c>
      <c r="F98" s="4">
        <v>115</v>
      </c>
      <c r="G98" s="4" t="s">
        <v>33</v>
      </c>
      <c r="H98" t="s">
        <v>58</v>
      </c>
      <c r="I98" s="6">
        <v>68000</v>
      </c>
      <c r="J98" s="7">
        <v>0.28000000000000003</v>
      </c>
      <c r="K98" s="20">
        <v>0.18</v>
      </c>
      <c r="L98" s="19">
        <v>87040</v>
      </c>
      <c r="M98" s="6">
        <v>80240</v>
      </c>
      <c r="N98" s="19">
        <v>-6800</v>
      </c>
      <c r="O98" s="19">
        <v>3885639680</v>
      </c>
      <c r="P98" s="19">
        <v>4119385191.9999995</v>
      </c>
      <c r="Q98" s="4">
        <v>44642</v>
      </c>
      <c r="R98" s="11">
        <v>51338.299999999996</v>
      </c>
      <c r="S98" s="12">
        <v>6696.2999999999956</v>
      </c>
      <c r="T98" s="3">
        <f t="shared" si="3"/>
        <v>233745511.99999952</v>
      </c>
    </row>
    <row r="99" spans="1:20" x14ac:dyDescent="0.3">
      <c r="A99" s="45">
        <v>45870</v>
      </c>
      <c r="B99">
        <v>2025</v>
      </c>
      <c r="C99" s="18" t="str">
        <f t="shared" si="2"/>
        <v>Aug</v>
      </c>
      <c r="D99" t="s">
        <v>11</v>
      </c>
      <c r="E99" t="s">
        <v>14</v>
      </c>
      <c r="F99">
        <v>115</v>
      </c>
      <c r="G99" t="s">
        <v>33</v>
      </c>
      <c r="H99" t="s">
        <v>58</v>
      </c>
      <c r="I99" s="3">
        <v>68000</v>
      </c>
      <c r="J99" s="2">
        <v>0.28000000000000003</v>
      </c>
      <c r="K99" s="20">
        <v>0.18</v>
      </c>
      <c r="L99" s="19">
        <v>87040</v>
      </c>
      <c r="M99" s="3">
        <v>80240</v>
      </c>
      <c r="N99" s="19">
        <v>-6800</v>
      </c>
      <c r="O99" s="19">
        <v>4392473600</v>
      </c>
      <c r="P99" s="19">
        <v>4656708339.999999</v>
      </c>
      <c r="Q99">
        <v>50465</v>
      </c>
      <c r="R99" s="11">
        <v>58034.749999999993</v>
      </c>
      <c r="S99" s="12">
        <v>7569.7499999999927</v>
      </c>
      <c r="T99" s="3">
        <f t="shared" si="3"/>
        <v>264234739.99999905</v>
      </c>
    </row>
    <row r="100" spans="1:20" x14ac:dyDescent="0.3">
      <c r="A100" s="46">
        <v>45901</v>
      </c>
      <c r="B100" s="4">
        <v>2025</v>
      </c>
      <c r="C100" s="18" t="str">
        <f t="shared" si="2"/>
        <v>Sep</v>
      </c>
      <c r="D100" s="4" t="s">
        <v>11</v>
      </c>
      <c r="E100" s="4" t="s">
        <v>14</v>
      </c>
      <c r="F100" s="4">
        <v>115</v>
      </c>
      <c r="G100" s="4" t="s">
        <v>33</v>
      </c>
      <c r="H100" t="s">
        <v>58</v>
      </c>
      <c r="I100" s="6">
        <v>68000</v>
      </c>
      <c r="J100" s="7">
        <v>0.28000000000000003</v>
      </c>
      <c r="K100" s="20">
        <v>0.18</v>
      </c>
      <c r="L100" s="19">
        <v>87040</v>
      </c>
      <c r="M100" s="6">
        <v>80240</v>
      </c>
      <c r="N100" s="19">
        <v>-6800</v>
      </c>
      <c r="O100" s="19">
        <v>4701117440</v>
      </c>
      <c r="P100" s="19">
        <v>4983919036</v>
      </c>
      <c r="Q100" s="4">
        <v>54011</v>
      </c>
      <c r="R100" s="11">
        <v>62112.649999999994</v>
      </c>
      <c r="S100" s="12">
        <v>8101.6499999999942</v>
      </c>
      <c r="T100" s="3">
        <f t="shared" si="3"/>
        <v>282801596</v>
      </c>
    </row>
    <row r="101" spans="1:20" x14ac:dyDescent="0.3">
      <c r="A101" s="45">
        <v>44927</v>
      </c>
      <c r="B101">
        <v>2023</v>
      </c>
      <c r="C101" s="18" t="str">
        <f t="shared" si="2"/>
        <v>Jan</v>
      </c>
      <c r="D101" t="s">
        <v>11</v>
      </c>
      <c r="E101" t="s">
        <v>15</v>
      </c>
      <c r="F101">
        <v>124</v>
      </c>
      <c r="G101" t="s">
        <v>33</v>
      </c>
      <c r="H101" t="s">
        <v>58</v>
      </c>
      <c r="I101" s="3">
        <v>85000</v>
      </c>
      <c r="J101" s="2">
        <v>0.28000000000000003</v>
      </c>
      <c r="K101" s="20">
        <v>0.18</v>
      </c>
      <c r="L101" s="19">
        <v>108800</v>
      </c>
      <c r="M101" s="3">
        <v>100300</v>
      </c>
      <c r="N101" s="19">
        <v>-8500</v>
      </c>
      <c r="O101" s="19">
        <v>10662400000</v>
      </c>
      <c r="P101" s="19">
        <v>11303809999.999998</v>
      </c>
      <c r="Q101">
        <v>98000</v>
      </c>
      <c r="R101" s="11">
        <v>112699.99999999999</v>
      </c>
      <c r="S101" s="12">
        <v>14699.999999999985</v>
      </c>
      <c r="T101" s="3">
        <f t="shared" si="3"/>
        <v>641409999.99999809</v>
      </c>
    </row>
    <row r="102" spans="1:20" x14ac:dyDescent="0.3">
      <c r="A102" s="46">
        <v>44958</v>
      </c>
      <c r="B102" s="4">
        <v>2023</v>
      </c>
      <c r="C102" s="18" t="str">
        <f t="shared" si="2"/>
        <v>Feb</v>
      </c>
      <c r="D102" s="4" t="s">
        <v>11</v>
      </c>
      <c r="E102" s="4" t="s">
        <v>15</v>
      </c>
      <c r="F102" s="4">
        <v>124</v>
      </c>
      <c r="G102" s="4" t="s">
        <v>33</v>
      </c>
      <c r="H102" t="s">
        <v>58</v>
      </c>
      <c r="I102" s="6">
        <v>85000</v>
      </c>
      <c r="J102" s="7">
        <v>0.28000000000000003</v>
      </c>
      <c r="K102" s="20">
        <v>0.18</v>
      </c>
      <c r="L102" s="19">
        <v>108800</v>
      </c>
      <c r="M102" s="6">
        <v>100300</v>
      </c>
      <c r="N102" s="19">
        <v>-8500</v>
      </c>
      <c r="O102" s="19">
        <v>9770240000</v>
      </c>
      <c r="P102" s="19">
        <v>10357980999.999998</v>
      </c>
      <c r="Q102" s="4">
        <v>89800</v>
      </c>
      <c r="R102" s="11">
        <v>103269.99999999999</v>
      </c>
      <c r="S102" s="12">
        <v>13469.999999999985</v>
      </c>
      <c r="T102" s="3">
        <f t="shared" si="3"/>
        <v>587740999.99999809</v>
      </c>
    </row>
    <row r="103" spans="1:20" x14ac:dyDescent="0.3">
      <c r="A103" s="45">
        <v>44986</v>
      </c>
      <c r="B103">
        <v>2023</v>
      </c>
      <c r="C103" s="18" t="str">
        <f t="shared" si="2"/>
        <v>Mar</v>
      </c>
      <c r="D103" t="s">
        <v>11</v>
      </c>
      <c r="E103" t="s">
        <v>15</v>
      </c>
      <c r="F103">
        <v>124</v>
      </c>
      <c r="G103" t="s">
        <v>33</v>
      </c>
      <c r="H103" t="s">
        <v>58</v>
      </c>
      <c r="I103" s="3">
        <v>85000</v>
      </c>
      <c r="J103" s="2">
        <v>0.28000000000000003</v>
      </c>
      <c r="K103" s="20">
        <v>0.18</v>
      </c>
      <c r="L103" s="19">
        <v>108800</v>
      </c>
      <c r="M103" s="3">
        <v>100300</v>
      </c>
      <c r="N103" s="19">
        <v>-8500</v>
      </c>
      <c r="O103" s="19">
        <v>13556371200</v>
      </c>
      <c r="P103" s="19">
        <v>14371871654.999998</v>
      </c>
      <c r="Q103">
        <v>124599</v>
      </c>
      <c r="R103" s="11">
        <v>143288.84999999998</v>
      </c>
      <c r="S103" s="12">
        <v>18689.849999999977</v>
      </c>
      <c r="T103" s="3">
        <f t="shared" si="3"/>
        <v>815500454.99999809</v>
      </c>
    </row>
    <row r="104" spans="1:20" x14ac:dyDescent="0.3">
      <c r="A104" s="46">
        <v>45017</v>
      </c>
      <c r="B104" s="4">
        <v>2023</v>
      </c>
      <c r="C104" s="18" t="str">
        <f t="shared" si="2"/>
        <v>Apr</v>
      </c>
      <c r="D104" s="4" t="s">
        <v>11</v>
      </c>
      <c r="E104" s="4" t="s">
        <v>15</v>
      </c>
      <c r="F104" s="4">
        <v>124</v>
      </c>
      <c r="G104" s="4" t="s">
        <v>33</v>
      </c>
      <c r="H104" t="s">
        <v>58</v>
      </c>
      <c r="I104" s="6">
        <v>85000</v>
      </c>
      <c r="J104" s="7">
        <v>0.28000000000000003</v>
      </c>
      <c r="K104" s="20">
        <v>0.18</v>
      </c>
      <c r="L104" s="19">
        <v>108800</v>
      </c>
      <c r="M104" s="6">
        <v>100300</v>
      </c>
      <c r="N104" s="19">
        <v>-8500</v>
      </c>
      <c r="O104" s="19">
        <v>9865984000</v>
      </c>
      <c r="P104" s="19">
        <v>10459484599.999998</v>
      </c>
      <c r="Q104" s="4">
        <v>90680</v>
      </c>
      <c r="R104" s="11">
        <v>104281.99999999999</v>
      </c>
      <c r="S104" s="12">
        <v>13601.999999999985</v>
      </c>
      <c r="T104" s="3">
        <f t="shared" si="3"/>
        <v>593500599.99999809</v>
      </c>
    </row>
    <row r="105" spans="1:20" x14ac:dyDescent="0.3">
      <c r="A105" s="45">
        <v>45047</v>
      </c>
      <c r="B105">
        <v>2023</v>
      </c>
      <c r="C105" s="18" t="str">
        <f t="shared" si="2"/>
        <v>May</v>
      </c>
      <c r="D105" t="s">
        <v>11</v>
      </c>
      <c r="E105" t="s">
        <v>15</v>
      </c>
      <c r="F105">
        <v>124</v>
      </c>
      <c r="G105" t="s">
        <v>33</v>
      </c>
      <c r="H105" t="s">
        <v>58</v>
      </c>
      <c r="I105" s="3">
        <v>85000</v>
      </c>
      <c r="J105" s="2">
        <v>0.28000000000000003</v>
      </c>
      <c r="K105" s="20">
        <v>0.18</v>
      </c>
      <c r="L105" s="19">
        <v>108800</v>
      </c>
      <c r="M105" s="3">
        <v>100300</v>
      </c>
      <c r="N105" s="19">
        <v>-8500</v>
      </c>
      <c r="O105" s="19">
        <v>9851622400</v>
      </c>
      <c r="P105" s="19">
        <v>10444259060</v>
      </c>
      <c r="Q105">
        <v>90548</v>
      </c>
      <c r="R105" s="11">
        <v>104130.2</v>
      </c>
      <c r="S105" s="12">
        <v>13582.199999999997</v>
      </c>
      <c r="T105" s="3">
        <f t="shared" si="3"/>
        <v>592636660</v>
      </c>
    </row>
    <row r="106" spans="1:20" x14ac:dyDescent="0.3">
      <c r="A106" s="46">
        <v>45078</v>
      </c>
      <c r="B106" s="4">
        <v>2023</v>
      </c>
      <c r="C106" s="18" t="str">
        <f t="shared" si="2"/>
        <v>Jun</v>
      </c>
      <c r="D106" s="4" t="s">
        <v>11</v>
      </c>
      <c r="E106" s="4" t="s">
        <v>15</v>
      </c>
      <c r="F106" s="4">
        <v>124</v>
      </c>
      <c r="G106" s="4" t="s">
        <v>33</v>
      </c>
      <c r="H106" t="s">
        <v>58</v>
      </c>
      <c r="I106" s="6">
        <v>85000</v>
      </c>
      <c r="J106" s="7">
        <v>0.28000000000000003</v>
      </c>
      <c r="K106" s="20">
        <v>0.18</v>
      </c>
      <c r="L106" s="19">
        <v>108800</v>
      </c>
      <c r="M106" s="6">
        <v>100300</v>
      </c>
      <c r="N106" s="19">
        <v>-8500</v>
      </c>
      <c r="O106" s="19">
        <v>8747411200</v>
      </c>
      <c r="P106" s="19">
        <v>9273622655</v>
      </c>
      <c r="Q106" s="4">
        <v>80399</v>
      </c>
      <c r="R106" s="11">
        <v>92458.849999999991</v>
      </c>
      <c r="S106" s="12">
        <v>12059.849999999991</v>
      </c>
      <c r="T106" s="3">
        <f t="shared" si="3"/>
        <v>526211455</v>
      </c>
    </row>
    <row r="107" spans="1:20" x14ac:dyDescent="0.3">
      <c r="A107" s="45">
        <v>45108</v>
      </c>
      <c r="B107">
        <v>2023</v>
      </c>
      <c r="C107" s="18" t="str">
        <f t="shared" si="2"/>
        <v>Jul</v>
      </c>
      <c r="D107" t="s">
        <v>11</v>
      </c>
      <c r="E107" t="s">
        <v>15</v>
      </c>
      <c r="F107">
        <v>124</v>
      </c>
      <c r="G107" t="s">
        <v>33</v>
      </c>
      <c r="H107" t="s">
        <v>58</v>
      </c>
      <c r="I107" s="3">
        <v>85000</v>
      </c>
      <c r="J107" s="2">
        <v>0.28000000000000003</v>
      </c>
      <c r="K107" s="20">
        <v>0.18</v>
      </c>
      <c r="L107" s="19">
        <v>108800</v>
      </c>
      <c r="M107" s="3">
        <v>100300</v>
      </c>
      <c r="N107" s="19">
        <v>-8500</v>
      </c>
      <c r="O107" s="19">
        <v>7412652800</v>
      </c>
      <c r="P107" s="19">
        <v>7858570194.999999</v>
      </c>
      <c r="Q107">
        <v>68131</v>
      </c>
      <c r="R107" s="11">
        <v>78350.649999999994</v>
      </c>
      <c r="S107" s="12">
        <v>10219.649999999994</v>
      </c>
      <c r="T107" s="3">
        <f t="shared" si="3"/>
        <v>445917394.99999905</v>
      </c>
    </row>
    <row r="108" spans="1:20" x14ac:dyDescent="0.3">
      <c r="A108" s="46">
        <v>45139</v>
      </c>
      <c r="B108" s="4">
        <v>2023</v>
      </c>
      <c r="C108" s="18" t="str">
        <f t="shared" si="2"/>
        <v>Aug</v>
      </c>
      <c r="D108" s="4" t="s">
        <v>11</v>
      </c>
      <c r="E108" s="4" t="s">
        <v>15</v>
      </c>
      <c r="F108" s="4">
        <v>124</v>
      </c>
      <c r="G108" s="4" t="s">
        <v>33</v>
      </c>
      <c r="H108" t="s">
        <v>58</v>
      </c>
      <c r="I108" s="6">
        <v>85000</v>
      </c>
      <c r="J108" s="7">
        <v>0.28000000000000003</v>
      </c>
      <c r="K108" s="20">
        <v>0.18</v>
      </c>
      <c r="L108" s="19">
        <v>108800</v>
      </c>
      <c r="M108" s="6">
        <v>100300</v>
      </c>
      <c r="N108" s="19">
        <v>-8500</v>
      </c>
      <c r="O108" s="19">
        <v>7932390400</v>
      </c>
      <c r="P108" s="19">
        <v>8409573260</v>
      </c>
      <c r="Q108" s="4">
        <v>72908</v>
      </c>
      <c r="R108" s="11">
        <v>83844.2</v>
      </c>
      <c r="S108" s="12">
        <v>10936.199999999997</v>
      </c>
      <c r="T108" s="3">
        <f t="shared" si="3"/>
        <v>477182860</v>
      </c>
    </row>
    <row r="109" spans="1:20" x14ac:dyDescent="0.3">
      <c r="A109" s="45">
        <v>45170</v>
      </c>
      <c r="B109">
        <v>2023</v>
      </c>
      <c r="C109" s="18" t="str">
        <f t="shared" si="2"/>
        <v>Sep</v>
      </c>
      <c r="D109" t="s">
        <v>11</v>
      </c>
      <c r="E109" t="s">
        <v>15</v>
      </c>
      <c r="F109">
        <v>124</v>
      </c>
      <c r="G109" t="s">
        <v>33</v>
      </c>
      <c r="H109" t="s">
        <v>58</v>
      </c>
      <c r="I109" s="3">
        <v>85000</v>
      </c>
      <c r="J109" s="2">
        <v>0.28000000000000003</v>
      </c>
      <c r="K109" s="20">
        <v>0.18</v>
      </c>
      <c r="L109" s="19">
        <v>108800</v>
      </c>
      <c r="M109" s="3">
        <v>100300</v>
      </c>
      <c r="N109" s="19">
        <v>-8500</v>
      </c>
      <c r="O109" s="19">
        <v>7675187200</v>
      </c>
      <c r="P109" s="19">
        <v>8136897679.999999</v>
      </c>
      <c r="Q109">
        <v>70544</v>
      </c>
      <c r="R109" s="11">
        <v>81125.599999999991</v>
      </c>
      <c r="S109" s="12">
        <v>10581.599999999991</v>
      </c>
      <c r="T109" s="3">
        <f t="shared" si="3"/>
        <v>461710479.99999905</v>
      </c>
    </row>
    <row r="110" spans="1:20" x14ac:dyDescent="0.3">
      <c r="A110" s="46">
        <v>45200</v>
      </c>
      <c r="B110" s="4">
        <v>2023</v>
      </c>
      <c r="C110" s="18" t="str">
        <f t="shared" si="2"/>
        <v>Oct</v>
      </c>
      <c r="D110" s="4" t="s">
        <v>11</v>
      </c>
      <c r="E110" s="4" t="s">
        <v>15</v>
      </c>
      <c r="F110" s="4">
        <v>124</v>
      </c>
      <c r="G110" s="4" t="s">
        <v>33</v>
      </c>
      <c r="H110" t="s">
        <v>58</v>
      </c>
      <c r="I110" s="6">
        <v>85000</v>
      </c>
      <c r="J110" s="7">
        <v>0.28000000000000003</v>
      </c>
      <c r="K110" s="20">
        <v>0.18</v>
      </c>
      <c r="L110" s="19">
        <v>108800</v>
      </c>
      <c r="M110" s="6">
        <v>100300</v>
      </c>
      <c r="N110" s="19">
        <v>-8500</v>
      </c>
      <c r="O110" s="19">
        <v>7496646400</v>
      </c>
      <c r="P110" s="19">
        <v>7947616535</v>
      </c>
      <c r="Q110" s="4">
        <v>68903</v>
      </c>
      <c r="R110" s="11">
        <v>79238.45</v>
      </c>
      <c r="S110" s="12">
        <v>10335.449999999997</v>
      </c>
      <c r="T110" s="3">
        <f t="shared" si="3"/>
        <v>450970135</v>
      </c>
    </row>
    <row r="111" spans="1:20" x14ac:dyDescent="0.3">
      <c r="A111" s="45">
        <v>45231</v>
      </c>
      <c r="B111">
        <v>2023</v>
      </c>
      <c r="C111" s="18" t="str">
        <f t="shared" si="2"/>
        <v>Nov</v>
      </c>
      <c r="D111" t="s">
        <v>11</v>
      </c>
      <c r="E111" t="s">
        <v>15</v>
      </c>
      <c r="F111">
        <v>124</v>
      </c>
      <c r="G111" t="s">
        <v>33</v>
      </c>
      <c r="H111" t="s">
        <v>58</v>
      </c>
      <c r="I111" s="3">
        <v>85000</v>
      </c>
      <c r="J111" s="2">
        <v>0.28000000000000003</v>
      </c>
      <c r="K111" s="20">
        <v>0.18</v>
      </c>
      <c r="L111" s="19">
        <v>108800</v>
      </c>
      <c r="M111" s="3">
        <v>100300</v>
      </c>
      <c r="N111" s="19">
        <v>-8500</v>
      </c>
      <c r="O111" s="19">
        <v>7504153600</v>
      </c>
      <c r="P111" s="19">
        <v>7955575339.999999</v>
      </c>
      <c r="Q111">
        <v>68972</v>
      </c>
      <c r="R111" s="11">
        <v>79317.799999999988</v>
      </c>
      <c r="S111" s="12">
        <v>10345.799999999988</v>
      </c>
      <c r="T111" s="3">
        <f t="shared" si="3"/>
        <v>451421739.99999905</v>
      </c>
    </row>
    <row r="112" spans="1:20" x14ac:dyDescent="0.3">
      <c r="A112" s="46">
        <v>45261</v>
      </c>
      <c r="B112" s="4">
        <v>2023</v>
      </c>
      <c r="C112" s="18" t="str">
        <f t="shared" si="2"/>
        <v>Dec</v>
      </c>
      <c r="D112" s="4" t="s">
        <v>11</v>
      </c>
      <c r="E112" s="4" t="s">
        <v>15</v>
      </c>
      <c r="F112" s="4">
        <v>124</v>
      </c>
      <c r="G112" s="4" t="s">
        <v>33</v>
      </c>
      <c r="H112" t="s">
        <v>58</v>
      </c>
      <c r="I112" s="6">
        <v>85000</v>
      </c>
      <c r="J112" s="7">
        <v>0.28000000000000003</v>
      </c>
      <c r="K112" s="20">
        <v>0.18</v>
      </c>
      <c r="L112" s="19">
        <v>108800</v>
      </c>
      <c r="M112" s="6">
        <v>100300</v>
      </c>
      <c r="N112" s="19">
        <v>-8500</v>
      </c>
      <c r="O112" s="19">
        <v>8869049600</v>
      </c>
      <c r="P112" s="19">
        <v>9402578364.9999981</v>
      </c>
      <c r="Q112" s="4">
        <v>81517</v>
      </c>
      <c r="R112" s="11">
        <v>93744.549999999988</v>
      </c>
      <c r="S112" s="12">
        <v>12227.549999999988</v>
      </c>
      <c r="T112" s="3">
        <f t="shared" si="3"/>
        <v>533528764.99999809</v>
      </c>
    </row>
    <row r="113" spans="1:20" x14ac:dyDescent="0.3">
      <c r="A113" s="45">
        <v>45292</v>
      </c>
      <c r="B113">
        <v>2024</v>
      </c>
      <c r="C113" s="18" t="str">
        <f t="shared" si="2"/>
        <v>Jan</v>
      </c>
      <c r="D113" t="s">
        <v>11</v>
      </c>
      <c r="E113" t="s">
        <v>15</v>
      </c>
      <c r="F113">
        <v>124</v>
      </c>
      <c r="G113" t="s">
        <v>33</v>
      </c>
      <c r="H113" t="s">
        <v>58</v>
      </c>
      <c r="I113" s="3">
        <v>85000</v>
      </c>
      <c r="J113" s="2">
        <v>0.28000000000000003</v>
      </c>
      <c r="K113" s="20">
        <v>0.18</v>
      </c>
      <c r="L113" s="19">
        <v>108800</v>
      </c>
      <c r="M113" s="3">
        <v>100300</v>
      </c>
      <c r="N113" s="19">
        <v>-8500</v>
      </c>
      <c r="O113" s="19">
        <v>8320371200</v>
      </c>
      <c r="P113" s="19">
        <v>8820893530</v>
      </c>
      <c r="Q113">
        <v>76474</v>
      </c>
      <c r="R113" s="11">
        <v>87945.099999999991</v>
      </c>
      <c r="S113" s="12">
        <v>11471.099999999991</v>
      </c>
      <c r="T113" s="3">
        <f t="shared" si="3"/>
        <v>500522330</v>
      </c>
    </row>
    <row r="114" spans="1:20" x14ac:dyDescent="0.3">
      <c r="A114" s="46">
        <v>45323</v>
      </c>
      <c r="B114" s="4">
        <v>2024</v>
      </c>
      <c r="C114" s="18" t="str">
        <f t="shared" si="2"/>
        <v>Feb</v>
      </c>
      <c r="D114" s="4" t="s">
        <v>11</v>
      </c>
      <c r="E114" s="4" t="s">
        <v>15</v>
      </c>
      <c r="F114" s="4">
        <v>124</v>
      </c>
      <c r="G114" s="4" t="s">
        <v>33</v>
      </c>
      <c r="H114" t="s">
        <v>58</v>
      </c>
      <c r="I114" s="6">
        <v>85000</v>
      </c>
      <c r="J114" s="7">
        <v>0.28000000000000003</v>
      </c>
      <c r="K114" s="20">
        <v>0.18</v>
      </c>
      <c r="L114" s="19">
        <v>108800</v>
      </c>
      <c r="M114" s="6">
        <v>100300</v>
      </c>
      <c r="N114" s="19">
        <v>-8500</v>
      </c>
      <c r="O114" s="19">
        <v>10286496000</v>
      </c>
      <c r="P114" s="19">
        <v>10905293024.999998</v>
      </c>
      <c r="Q114" s="4">
        <v>94545</v>
      </c>
      <c r="R114" s="11">
        <v>108726.74999999999</v>
      </c>
      <c r="S114" s="12">
        <v>14181.749999999985</v>
      </c>
      <c r="T114" s="3">
        <f t="shared" si="3"/>
        <v>618797024.99999809</v>
      </c>
    </row>
    <row r="115" spans="1:20" x14ac:dyDescent="0.3">
      <c r="A115" s="45">
        <v>45352</v>
      </c>
      <c r="B115">
        <v>2024</v>
      </c>
      <c r="C115" s="18" t="str">
        <f t="shared" si="2"/>
        <v>Mar</v>
      </c>
      <c r="D115" t="s">
        <v>11</v>
      </c>
      <c r="E115" t="s">
        <v>15</v>
      </c>
      <c r="F115">
        <v>124</v>
      </c>
      <c r="G115" t="s">
        <v>33</v>
      </c>
      <c r="H115" t="s">
        <v>58</v>
      </c>
      <c r="I115" s="3">
        <v>85000</v>
      </c>
      <c r="J115" s="2">
        <v>0.28000000000000003</v>
      </c>
      <c r="K115" s="20">
        <v>0.18</v>
      </c>
      <c r="L115" s="19">
        <v>108800</v>
      </c>
      <c r="M115" s="3">
        <v>100300</v>
      </c>
      <c r="N115" s="19">
        <v>-8500</v>
      </c>
      <c r="O115" s="19">
        <v>8944121600</v>
      </c>
      <c r="P115" s="19">
        <v>9482166414.9999981</v>
      </c>
      <c r="Q115">
        <v>82207</v>
      </c>
      <c r="R115" s="11">
        <v>94538.049999999988</v>
      </c>
      <c r="S115" s="12">
        <v>12331.049999999988</v>
      </c>
      <c r="T115" s="3">
        <f t="shared" si="3"/>
        <v>538044814.99999809</v>
      </c>
    </row>
    <row r="116" spans="1:20" x14ac:dyDescent="0.3">
      <c r="A116" s="46">
        <v>45383</v>
      </c>
      <c r="B116" s="4">
        <v>2024</v>
      </c>
      <c r="C116" s="18" t="str">
        <f t="shared" si="2"/>
        <v>Apr</v>
      </c>
      <c r="D116" s="4" t="s">
        <v>11</v>
      </c>
      <c r="E116" s="4" t="s">
        <v>15</v>
      </c>
      <c r="F116" s="4">
        <v>124</v>
      </c>
      <c r="G116" s="4" t="s">
        <v>33</v>
      </c>
      <c r="H116" t="s">
        <v>58</v>
      </c>
      <c r="I116" s="6">
        <v>85000</v>
      </c>
      <c r="J116" s="7">
        <v>0.28000000000000003</v>
      </c>
      <c r="K116" s="20">
        <v>0.18</v>
      </c>
      <c r="L116" s="19">
        <v>108800</v>
      </c>
      <c r="M116" s="6">
        <v>100300</v>
      </c>
      <c r="N116" s="19">
        <v>-8500</v>
      </c>
      <c r="O116" s="19">
        <v>8088736000</v>
      </c>
      <c r="P116" s="19">
        <v>8575324025</v>
      </c>
      <c r="Q116" s="4">
        <v>74345</v>
      </c>
      <c r="R116" s="11">
        <v>85496.75</v>
      </c>
      <c r="S116" s="12">
        <v>11151.75</v>
      </c>
      <c r="T116" s="3">
        <f t="shared" si="3"/>
        <v>486588025</v>
      </c>
    </row>
    <row r="117" spans="1:20" x14ac:dyDescent="0.3">
      <c r="A117" s="45">
        <v>45413</v>
      </c>
      <c r="B117">
        <v>2024</v>
      </c>
      <c r="C117" s="18" t="str">
        <f t="shared" si="2"/>
        <v>May</v>
      </c>
      <c r="D117" t="s">
        <v>11</v>
      </c>
      <c r="E117" t="s">
        <v>15</v>
      </c>
      <c r="F117">
        <v>124</v>
      </c>
      <c r="G117" t="s">
        <v>33</v>
      </c>
      <c r="H117" t="s">
        <v>58</v>
      </c>
      <c r="I117" s="3">
        <v>85000</v>
      </c>
      <c r="J117" s="2">
        <v>0.28000000000000003</v>
      </c>
      <c r="K117" s="20">
        <v>0.18</v>
      </c>
      <c r="L117" s="19">
        <v>108800</v>
      </c>
      <c r="M117" s="3">
        <v>100300</v>
      </c>
      <c r="N117" s="19">
        <v>-8500</v>
      </c>
      <c r="O117" s="19">
        <v>9247891200</v>
      </c>
      <c r="P117" s="19">
        <v>9804209655</v>
      </c>
      <c r="Q117">
        <v>84999</v>
      </c>
      <c r="R117" s="11">
        <v>97748.849999999991</v>
      </c>
      <c r="S117" s="12">
        <v>12749.849999999991</v>
      </c>
      <c r="T117" s="3">
        <f t="shared" si="3"/>
        <v>556318455</v>
      </c>
    </row>
    <row r="118" spans="1:20" x14ac:dyDescent="0.3">
      <c r="A118" s="46">
        <v>45444</v>
      </c>
      <c r="B118" s="4">
        <v>2024</v>
      </c>
      <c r="C118" s="18" t="str">
        <f t="shared" si="2"/>
        <v>Jun</v>
      </c>
      <c r="D118" s="4" t="s">
        <v>11</v>
      </c>
      <c r="E118" s="4" t="s">
        <v>15</v>
      </c>
      <c r="F118" s="4">
        <v>124</v>
      </c>
      <c r="G118" s="4" t="s">
        <v>33</v>
      </c>
      <c r="H118" t="s">
        <v>58</v>
      </c>
      <c r="I118" s="6">
        <v>85000</v>
      </c>
      <c r="J118" s="7">
        <v>0.28000000000000003</v>
      </c>
      <c r="K118" s="20">
        <v>0.18</v>
      </c>
      <c r="L118" s="19">
        <v>108800</v>
      </c>
      <c r="M118" s="6">
        <v>100300</v>
      </c>
      <c r="N118" s="19">
        <v>-8500</v>
      </c>
      <c r="O118" s="19">
        <v>8796588800</v>
      </c>
      <c r="P118" s="19">
        <v>9325758595</v>
      </c>
      <c r="Q118" s="4">
        <v>80851</v>
      </c>
      <c r="R118" s="11">
        <v>92978.65</v>
      </c>
      <c r="S118" s="12">
        <v>12127.649999999994</v>
      </c>
      <c r="T118" s="3">
        <f t="shared" si="3"/>
        <v>529169795</v>
      </c>
    </row>
    <row r="119" spans="1:20" x14ac:dyDescent="0.3">
      <c r="A119" s="45">
        <v>45474</v>
      </c>
      <c r="B119">
        <v>2024</v>
      </c>
      <c r="C119" s="18" t="str">
        <f t="shared" si="2"/>
        <v>Jul</v>
      </c>
      <c r="D119" t="s">
        <v>11</v>
      </c>
      <c r="E119" t="s">
        <v>15</v>
      </c>
      <c r="F119">
        <v>124</v>
      </c>
      <c r="G119" t="s">
        <v>33</v>
      </c>
      <c r="H119" t="s">
        <v>58</v>
      </c>
      <c r="I119" s="3">
        <v>85000</v>
      </c>
      <c r="J119" s="2">
        <v>0.28000000000000003</v>
      </c>
      <c r="K119" s="20">
        <v>0.18</v>
      </c>
      <c r="L119" s="19">
        <v>108800</v>
      </c>
      <c r="M119" s="3">
        <v>100300</v>
      </c>
      <c r="N119" s="19">
        <v>-8500</v>
      </c>
      <c r="O119" s="19">
        <v>8089497600</v>
      </c>
      <c r="P119" s="19">
        <v>8576131439.999999</v>
      </c>
      <c r="Q119">
        <v>74352</v>
      </c>
      <c r="R119" s="11">
        <v>85504.799999999988</v>
      </c>
      <c r="S119" s="12">
        <v>11152.799999999988</v>
      </c>
      <c r="T119" s="3">
        <f t="shared" si="3"/>
        <v>486633839.99999905</v>
      </c>
    </row>
    <row r="120" spans="1:20" x14ac:dyDescent="0.3">
      <c r="A120" s="46">
        <v>45505</v>
      </c>
      <c r="B120" s="4">
        <v>2024</v>
      </c>
      <c r="C120" s="18" t="str">
        <f t="shared" si="2"/>
        <v>Aug</v>
      </c>
      <c r="D120" s="4" t="s">
        <v>11</v>
      </c>
      <c r="E120" s="4" t="s">
        <v>15</v>
      </c>
      <c r="F120" s="4">
        <v>124</v>
      </c>
      <c r="G120" s="4" t="s">
        <v>33</v>
      </c>
      <c r="H120" t="s">
        <v>58</v>
      </c>
      <c r="I120" s="6">
        <v>85000</v>
      </c>
      <c r="J120" s="7">
        <v>0.28000000000000003</v>
      </c>
      <c r="K120" s="20">
        <v>0.18</v>
      </c>
      <c r="L120" s="19">
        <v>108800</v>
      </c>
      <c r="M120" s="6">
        <v>100300</v>
      </c>
      <c r="N120" s="19">
        <v>-8500</v>
      </c>
      <c r="O120" s="19">
        <v>7836646400</v>
      </c>
      <c r="P120" s="19">
        <v>8308069660</v>
      </c>
      <c r="Q120" s="4">
        <v>72028</v>
      </c>
      <c r="R120" s="11">
        <v>82832.2</v>
      </c>
      <c r="S120" s="12">
        <v>10804.199999999997</v>
      </c>
      <c r="T120" s="3">
        <f t="shared" si="3"/>
        <v>471423260</v>
      </c>
    </row>
    <row r="121" spans="1:20" x14ac:dyDescent="0.3">
      <c r="A121" s="45">
        <v>45536</v>
      </c>
      <c r="B121">
        <v>2024</v>
      </c>
      <c r="C121" s="18" t="str">
        <f t="shared" si="2"/>
        <v>Sep</v>
      </c>
      <c r="D121" t="s">
        <v>11</v>
      </c>
      <c r="E121" t="s">
        <v>15</v>
      </c>
      <c r="F121">
        <v>124</v>
      </c>
      <c r="G121" t="s">
        <v>33</v>
      </c>
      <c r="H121" t="s">
        <v>58</v>
      </c>
      <c r="I121" s="3">
        <v>85000</v>
      </c>
      <c r="J121" s="2">
        <v>0.28000000000000003</v>
      </c>
      <c r="K121" s="20">
        <v>0.18</v>
      </c>
      <c r="L121" s="19">
        <v>108800</v>
      </c>
      <c r="M121" s="3">
        <v>100300</v>
      </c>
      <c r="N121" s="19">
        <v>-8500</v>
      </c>
      <c r="O121" s="19">
        <v>7461286400</v>
      </c>
      <c r="P121" s="19">
        <v>7910129410</v>
      </c>
      <c r="Q121">
        <v>68578</v>
      </c>
      <c r="R121" s="11">
        <v>78864.7</v>
      </c>
      <c r="S121" s="12">
        <v>10286.699999999997</v>
      </c>
      <c r="T121" s="3">
        <f t="shared" si="3"/>
        <v>448843010</v>
      </c>
    </row>
    <row r="122" spans="1:20" x14ac:dyDescent="0.3">
      <c r="A122" s="46">
        <v>45566</v>
      </c>
      <c r="B122" s="4">
        <v>2024</v>
      </c>
      <c r="C122" s="18" t="str">
        <f t="shared" si="2"/>
        <v>Oct</v>
      </c>
      <c r="D122" s="4" t="s">
        <v>11</v>
      </c>
      <c r="E122" s="4" t="s">
        <v>15</v>
      </c>
      <c r="F122" s="4">
        <v>124</v>
      </c>
      <c r="G122" s="4" t="s">
        <v>33</v>
      </c>
      <c r="H122" t="s">
        <v>58</v>
      </c>
      <c r="I122" s="6">
        <v>85000</v>
      </c>
      <c r="J122" s="7">
        <v>0.28000000000000003</v>
      </c>
      <c r="K122" s="20">
        <v>0.18</v>
      </c>
      <c r="L122" s="19">
        <v>108800</v>
      </c>
      <c r="M122" s="6">
        <v>100300</v>
      </c>
      <c r="N122" s="19">
        <v>-8500</v>
      </c>
      <c r="O122" s="19">
        <v>7425056000</v>
      </c>
      <c r="P122" s="19">
        <v>7871719525</v>
      </c>
      <c r="Q122" s="4">
        <v>68245</v>
      </c>
      <c r="R122" s="11">
        <v>78481.75</v>
      </c>
      <c r="S122" s="12">
        <v>10236.75</v>
      </c>
      <c r="T122" s="3">
        <f t="shared" si="3"/>
        <v>446663525</v>
      </c>
    </row>
    <row r="123" spans="1:20" x14ac:dyDescent="0.3">
      <c r="A123" s="45">
        <v>45597</v>
      </c>
      <c r="B123">
        <v>2024</v>
      </c>
      <c r="C123" s="18" t="str">
        <f t="shared" si="2"/>
        <v>Nov</v>
      </c>
      <c r="D123" t="s">
        <v>11</v>
      </c>
      <c r="E123" t="s">
        <v>15</v>
      </c>
      <c r="F123">
        <v>124</v>
      </c>
      <c r="G123" t="s">
        <v>33</v>
      </c>
      <c r="H123" t="s">
        <v>58</v>
      </c>
      <c r="I123" s="3">
        <v>85000</v>
      </c>
      <c r="J123" s="2">
        <v>0.28000000000000003</v>
      </c>
      <c r="K123" s="20">
        <v>0.18</v>
      </c>
      <c r="L123" s="19">
        <v>108800</v>
      </c>
      <c r="M123" s="3">
        <v>100300</v>
      </c>
      <c r="N123" s="19">
        <v>-8500</v>
      </c>
      <c r="O123" s="19">
        <v>8149120000</v>
      </c>
      <c r="P123" s="19">
        <v>8639340500</v>
      </c>
      <c r="Q123">
        <v>74900</v>
      </c>
      <c r="R123" s="11">
        <v>86135</v>
      </c>
      <c r="S123" s="12">
        <v>11235</v>
      </c>
      <c r="T123" s="3">
        <f t="shared" si="3"/>
        <v>490220500</v>
      </c>
    </row>
    <row r="124" spans="1:20" x14ac:dyDescent="0.3">
      <c r="A124" s="46">
        <v>45627</v>
      </c>
      <c r="B124" s="4">
        <v>2024</v>
      </c>
      <c r="C124" s="18" t="str">
        <f t="shared" si="2"/>
        <v>Dec</v>
      </c>
      <c r="D124" s="4" t="s">
        <v>11</v>
      </c>
      <c r="E124" s="4" t="s">
        <v>15</v>
      </c>
      <c r="F124" s="4">
        <v>124</v>
      </c>
      <c r="G124" s="4" t="s">
        <v>33</v>
      </c>
      <c r="H124" t="s">
        <v>58</v>
      </c>
      <c r="I124" s="6">
        <v>85000</v>
      </c>
      <c r="J124" s="7">
        <v>0.28000000000000003</v>
      </c>
      <c r="K124" s="20">
        <v>0.18</v>
      </c>
      <c r="L124" s="19">
        <v>108800</v>
      </c>
      <c r="M124" s="6">
        <v>100300</v>
      </c>
      <c r="N124" s="19">
        <v>-8500</v>
      </c>
      <c r="O124" s="19">
        <v>7899859200</v>
      </c>
      <c r="P124" s="19">
        <v>8375085104.999999</v>
      </c>
      <c r="Q124" s="4">
        <v>72609</v>
      </c>
      <c r="R124" s="11">
        <v>83500.349999999991</v>
      </c>
      <c r="S124" s="12">
        <v>10891.349999999991</v>
      </c>
      <c r="T124" s="3">
        <f t="shared" si="3"/>
        <v>475225904.99999905</v>
      </c>
    </row>
    <row r="125" spans="1:20" x14ac:dyDescent="0.3">
      <c r="A125" s="45">
        <v>45658</v>
      </c>
      <c r="B125">
        <v>2025</v>
      </c>
      <c r="C125" s="18" t="str">
        <f t="shared" si="2"/>
        <v>Jan</v>
      </c>
      <c r="D125" t="s">
        <v>11</v>
      </c>
      <c r="E125" t="s">
        <v>15</v>
      </c>
      <c r="F125">
        <v>124</v>
      </c>
      <c r="G125" t="s">
        <v>33</v>
      </c>
      <c r="H125" t="s">
        <v>58</v>
      </c>
      <c r="I125" s="3">
        <v>85000</v>
      </c>
      <c r="J125" s="2">
        <v>0.28000000000000003</v>
      </c>
      <c r="K125" s="20">
        <v>0.18</v>
      </c>
      <c r="L125" s="19">
        <v>108800</v>
      </c>
      <c r="M125" s="3">
        <v>100300</v>
      </c>
      <c r="N125" s="19">
        <v>-8500</v>
      </c>
      <c r="O125" s="19">
        <v>9047808000</v>
      </c>
      <c r="P125" s="19">
        <v>9592090199.9999981</v>
      </c>
      <c r="Q125">
        <v>83160</v>
      </c>
      <c r="R125" s="11">
        <v>95633.999999999985</v>
      </c>
      <c r="S125" s="12">
        <v>12473.999999999985</v>
      </c>
      <c r="T125" s="3">
        <f t="shared" si="3"/>
        <v>544282199.99999809</v>
      </c>
    </row>
    <row r="126" spans="1:20" x14ac:dyDescent="0.3">
      <c r="A126" s="46">
        <v>45689</v>
      </c>
      <c r="B126" s="4">
        <v>2025</v>
      </c>
      <c r="C126" s="18" t="str">
        <f t="shared" si="2"/>
        <v>Feb</v>
      </c>
      <c r="D126" s="4" t="s">
        <v>11</v>
      </c>
      <c r="E126" s="4" t="s">
        <v>15</v>
      </c>
      <c r="F126" s="4">
        <v>124</v>
      </c>
      <c r="G126" s="4" t="s">
        <v>33</v>
      </c>
      <c r="H126" t="s">
        <v>58</v>
      </c>
      <c r="I126" s="6">
        <v>85000</v>
      </c>
      <c r="J126" s="7">
        <v>0.28000000000000003</v>
      </c>
      <c r="K126" s="20">
        <v>0.18</v>
      </c>
      <c r="L126" s="19">
        <v>108800</v>
      </c>
      <c r="M126" s="6">
        <v>100300</v>
      </c>
      <c r="N126" s="19">
        <v>-8500</v>
      </c>
      <c r="O126" s="19">
        <v>9582560000</v>
      </c>
      <c r="P126" s="19">
        <v>10159010874.999998</v>
      </c>
      <c r="Q126" s="4">
        <v>88075</v>
      </c>
      <c r="R126" s="11">
        <v>101286.24999999999</v>
      </c>
      <c r="S126" s="12">
        <v>13211.249999999985</v>
      </c>
      <c r="T126" s="3">
        <f t="shared" si="3"/>
        <v>576450874.99999809</v>
      </c>
    </row>
    <row r="127" spans="1:20" x14ac:dyDescent="0.3">
      <c r="A127" s="45">
        <v>45717</v>
      </c>
      <c r="B127">
        <v>2025</v>
      </c>
      <c r="C127" s="18" t="str">
        <f t="shared" si="2"/>
        <v>Mar</v>
      </c>
      <c r="D127" t="s">
        <v>11</v>
      </c>
      <c r="E127" t="s">
        <v>15</v>
      </c>
      <c r="F127">
        <v>124</v>
      </c>
      <c r="G127" t="s">
        <v>33</v>
      </c>
      <c r="H127" t="s">
        <v>58</v>
      </c>
      <c r="I127" s="3">
        <v>85000</v>
      </c>
      <c r="J127" s="2">
        <v>0.28000000000000003</v>
      </c>
      <c r="K127" s="20">
        <v>0.18</v>
      </c>
      <c r="L127" s="19">
        <v>108800</v>
      </c>
      <c r="M127" s="3">
        <v>100300</v>
      </c>
      <c r="N127" s="19">
        <v>-8500</v>
      </c>
      <c r="O127" s="19">
        <v>9341241600</v>
      </c>
      <c r="P127" s="19">
        <v>9903175664.9999981</v>
      </c>
      <c r="Q127">
        <v>85857</v>
      </c>
      <c r="R127" s="11">
        <v>98735.549999999988</v>
      </c>
      <c r="S127" s="12">
        <v>12878.549999999988</v>
      </c>
      <c r="T127" s="3">
        <f t="shared" si="3"/>
        <v>561934064.99999809</v>
      </c>
    </row>
    <row r="128" spans="1:20" x14ac:dyDescent="0.3">
      <c r="A128" s="46">
        <v>45748</v>
      </c>
      <c r="B128" s="4">
        <v>2025</v>
      </c>
      <c r="C128" s="18" t="str">
        <f t="shared" si="2"/>
        <v>Apr</v>
      </c>
      <c r="D128" s="4" t="s">
        <v>11</v>
      </c>
      <c r="E128" s="4" t="s">
        <v>15</v>
      </c>
      <c r="F128" s="4">
        <v>124</v>
      </c>
      <c r="G128" s="4" t="s">
        <v>33</v>
      </c>
      <c r="H128" t="s">
        <v>58</v>
      </c>
      <c r="I128" s="6">
        <v>85000</v>
      </c>
      <c r="J128" s="7">
        <v>0.28000000000000003</v>
      </c>
      <c r="K128" s="20">
        <v>0.18</v>
      </c>
      <c r="L128" s="19">
        <v>108800</v>
      </c>
      <c r="M128" s="6">
        <v>100300</v>
      </c>
      <c r="N128" s="19">
        <v>-8500</v>
      </c>
      <c r="O128" s="19">
        <v>8999283200</v>
      </c>
      <c r="P128" s="19">
        <v>9540646330</v>
      </c>
      <c r="Q128" s="4">
        <v>82714</v>
      </c>
      <c r="R128" s="11">
        <v>95121.099999999991</v>
      </c>
      <c r="S128" s="12">
        <v>12407.099999999991</v>
      </c>
      <c r="T128" s="3">
        <f t="shared" si="3"/>
        <v>541363130</v>
      </c>
    </row>
    <row r="129" spans="1:20" x14ac:dyDescent="0.3">
      <c r="A129" s="45">
        <v>45778</v>
      </c>
      <c r="B129">
        <v>2025</v>
      </c>
      <c r="C129" s="18" t="str">
        <f t="shared" si="2"/>
        <v>May</v>
      </c>
      <c r="D129" t="s">
        <v>11</v>
      </c>
      <c r="E129" t="s">
        <v>15</v>
      </c>
      <c r="F129">
        <v>124</v>
      </c>
      <c r="G129" t="s">
        <v>33</v>
      </c>
      <c r="H129" t="s">
        <v>58</v>
      </c>
      <c r="I129" s="3">
        <v>85000</v>
      </c>
      <c r="J129" s="2">
        <v>0.28000000000000003</v>
      </c>
      <c r="K129" s="20">
        <v>0.18</v>
      </c>
      <c r="L129" s="19">
        <v>108800</v>
      </c>
      <c r="M129" s="3">
        <v>100300</v>
      </c>
      <c r="N129" s="19">
        <v>-8500</v>
      </c>
      <c r="O129" s="19">
        <v>8349420800</v>
      </c>
      <c r="P129" s="19">
        <v>8851690645</v>
      </c>
      <c r="Q129">
        <v>76741</v>
      </c>
      <c r="R129" s="11">
        <v>88252.15</v>
      </c>
      <c r="S129" s="12">
        <v>11511.149999999994</v>
      </c>
      <c r="T129" s="3">
        <f t="shared" si="3"/>
        <v>502269845</v>
      </c>
    </row>
    <row r="130" spans="1:20" x14ac:dyDescent="0.3">
      <c r="A130" s="46">
        <v>45809</v>
      </c>
      <c r="B130" s="4">
        <v>2025</v>
      </c>
      <c r="C130" s="18" t="str">
        <f t="shared" si="2"/>
        <v>Jun</v>
      </c>
      <c r="D130" s="4" t="s">
        <v>11</v>
      </c>
      <c r="E130" s="4" t="s">
        <v>15</v>
      </c>
      <c r="F130" s="4">
        <v>124</v>
      </c>
      <c r="G130" s="4" t="s">
        <v>33</v>
      </c>
      <c r="H130" t="s">
        <v>58</v>
      </c>
      <c r="I130" s="6">
        <v>85000</v>
      </c>
      <c r="J130" s="7">
        <v>0.28000000000000003</v>
      </c>
      <c r="K130" s="20">
        <v>0.18</v>
      </c>
      <c r="L130" s="19">
        <v>108800</v>
      </c>
      <c r="M130" s="6">
        <v>100300</v>
      </c>
      <c r="N130" s="19">
        <v>-8500</v>
      </c>
      <c r="O130" s="19">
        <v>7906496000</v>
      </c>
      <c r="P130" s="19">
        <v>8382121150</v>
      </c>
      <c r="Q130" s="4">
        <v>72670</v>
      </c>
      <c r="R130" s="11">
        <v>83570.5</v>
      </c>
      <c r="S130" s="12">
        <v>10900.5</v>
      </c>
      <c r="T130" s="3">
        <f t="shared" si="3"/>
        <v>475625150</v>
      </c>
    </row>
    <row r="131" spans="1:20" x14ac:dyDescent="0.3">
      <c r="A131" s="45">
        <v>45839</v>
      </c>
      <c r="B131">
        <v>2025</v>
      </c>
      <c r="C131" s="18" t="str">
        <f t="shared" ref="C131:C194" si="4">TEXT(A131,"mmm")</f>
        <v>Jul</v>
      </c>
      <c r="D131" t="s">
        <v>11</v>
      </c>
      <c r="E131" t="s">
        <v>15</v>
      </c>
      <c r="F131">
        <v>124</v>
      </c>
      <c r="G131" t="s">
        <v>33</v>
      </c>
      <c r="H131" t="s">
        <v>58</v>
      </c>
      <c r="I131" s="3">
        <v>85000</v>
      </c>
      <c r="J131" s="2">
        <v>0.28000000000000003</v>
      </c>
      <c r="K131" s="20">
        <v>0.18</v>
      </c>
      <c r="L131" s="19">
        <v>108800</v>
      </c>
      <c r="M131" s="3">
        <v>100300</v>
      </c>
      <c r="N131" s="19">
        <v>-8500</v>
      </c>
      <c r="O131" s="19">
        <v>7551699200</v>
      </c>
      <c r="P131" s="19">
        <v>8005981104.999999</v>
      </c>
      <c r="Q131">
        <v>69409</v>
      </c>
      <c r="R131" s="11">
        <v>79820.349999999991</v>
      </c>
      <c r="S131" s="12">
        <v>10411.349999999991</v>
      </c>
      <c r="T131" s="3">
        <f t="shared" ref="T131:T194" si="5">P131-O131</f>
        <v>454281904.99999905</v>
      </c>
    </row>
    <row r="132" spans="1:20" x14ac:dyDescent="0.3">
      <c r="A132" s="46">
        <v>45870</v>
      </c>
      <c r="B132" s="4">
        <v>2025</v>
      </c>
      <c r="C132" s="18" t="str">
        <f t="shared" si="4"/>
        <v>Aug</v>
      </c>
      <c r="D132" s="4" t="s">
        <v>11</v>
      </c>
      <c r="E132" s="4" t="s">
        <v>15</v>
      </c>
      <c r="F132" s="4">
        <v>124</v>
      </c>
      <c r="G132" s="4" t="s">
        <v>33</v>
      </c>
      <c r="H132" t="s">
        <v>58</v>
      </c>
      <c r="I132" s="6">
        <v>85000</v>
      </c>
      <c r="J132" s="7">
        <v>0.28000000000000003</v>
      </c>
      <c r="K132" s="20">
        <v>0.18</v>
      </c>
      <c r="L132" s="19">
        <v>108800</v>
      </c>
      <c r="M132" s="6">
        <v>100300</v>
      </c>
      <c r="N132" s="19">
        <v>-8500</v>
      </c>
      <c r="O132" s="19">
        <v>8337996800</v>
      </c>
      <c r="P132" s="19">
        <v>8839579420</v>
      </c>
      <c r="Q132" s="4">
        <v>76636</v>
      </c>
      <c r="R132" s="11">
        <v>88131.4</v>
      </c>
      <c r="S132" s="12">
        <v>11495.399999999994</v>
      </c>
      <c r="T132" s="3">
        <f t="shared" si="5"/>
        <v>501582620</v>
      </c>
    </row>
    <row r="133" spans="1:20" x14ac:dyDescent="0.3">
      <c r="A133" s="45">
        <v>45901</v>
      </c>
      <c r="B133">
        <v>2025</v>
      </c>
      <c r="C133" s="18" t="str">
        <f t="shared" si="4"/>
        <v>Sep</v>
      </c>
      <c r="D133" t="s">
        <v>11</v>
      </c>
      <c r="E133" t="s">
        <v>15</v>
      </c>
      <c r="F133">
        <v>124</v>
      </c>
      <c r="G133" t="s">
        <v>33</v>
      </c>
      <c r="H133" t="s">
        <v>58</v>
      </c>
      <c r="I133" s="3">
        <v>85000</v>
      </c>
      <c r="J133" s="2">
        <v>0.28000000000000003</v>
      </c>
      <c r="K133" s="20">
        <v>0.18</v>
      </c>
      <c r="L133" s="19">
        <v>108800</v>
      </c>
      <c r="M133" s="3">
        <v>100300</v>
      </c>
      <c r="N133" s="19">
        <v>-8500</v>
      </c>
      <c r="O133" s="19">
        <v>8395552000</v>
      </c>
      <c r="P133" s="19">
        <v>8900596925</v>
      </c>
      <c r="Q133">
        <v>77165</v>
      </c>
      <c r="R133" s="11">
        <v>88739.75</v>
      </c>
      <c r="S133" s="12">
        <v>11574.75</v>
      </c>
      <c r="T133" s="3">
        <f t="shared" si="5"/>
        <v>505044925</v>
      </c>
    </row>
    <row r="134" spans="1:20" x14ac:dyDescent="0.3">
      <c r="A134" s="46">
        <v>44927</v>
      </c>
      <c r="B134" s="4">
        <v>2023</v>
      </c>
      <c r="C134" s="18" t="str">
        <f t="shared" si="4"/>
        <v>Jan</v>
      </c>
      <c r="D134" s="4" t="s">
        <v>11</v>
      </c>
      <c r="E134" s="4" t="s">
        <v>16</v>
      </c>
      <c r="F134" s="4">
        <v>149</v>
      </c>
      <c r="G134" s="4" t="s">
        <v>33</v>
      </c>
      <c r="H134" t="s">
        <v>58</v>
      </c>
      <c r="I134" s="6">
        <v>110000</v>
      </c>
      <c r="J134" s="7">
        <v>0.28000000000000003</v>
      </c>
      <c r="K134" s="20">
        <v>0.18</v>
      </c>
      <c r="L134" s="19">
        <v>140800</v>
      </c>
      <c r="M134" s="6">
        <v>129800</v>
      </c>
      <c r="N134" s="19">
        <v>-11000</v>
      </c>
      <c r="O134" s="19">
        <v>11151923200</v>
      </c>
      <c r="P134" s="19">
        <v>11822781079.999998</v>
      </c>
      <c r="Q134" s="4">
        <v>79204</v>
      </c>
      <c r="R134" s="11">
        <v>91084.599999999991</v>
      </c>
      <c r="S134" s="12">
        <v>11880.599999999991</v>
      </c>
      <c r="T134" s="3">
        <f t="shared" si="5"/>
        <v>670857879.99999809</v>
      </c>
    </row>
    <row r="135" spans="1:20" x14ac:dyDescent="0.3">
      <c r="A135" s="45">
        <v>44958</v>
      </c>
      <c r="B135">
        <v>2023</v>
      </c>
      <c r="C135" s="18" t="str">
        <f t="shared" si="4"/>
        <v>Feb</v>
      </c>
      <c r="D135" t="s">
        <v>11</v>
      </c>
      <c r="E135" t="s">
        <v>16</v>
      </c>
      <c r="F135">
        <v>149</v>
      </c>
      <c r="G135" t="s">
        <v>33</v>
      </c>
      <c r="H135" t="s">
        <v>58</v>
      </c>
      <c r="I135" s="3">
        <v>110000</v>
      </c>
      <c r="J135" s="2">
        <v>0.28000000000000003</v>
      </c>
      <c r="K135" s="20">
        <v>0.18</v>
      </c>
      <c r="L135" s="19">
        <v>140800</v>
      </c>
      <c r="M135" s="3">
        <v>129800</v>
      </c>
      <c r="N135" s="19">
        <v>-11000</v>
      </c>
      <c r="O135" s="19">
        <v>11450560000</v>
      </c>
      <c r="P135" s="19">
        <v>12139382750</v>
      </c>
      <c r="Q135">
        <v>81325</v>
      </c>
      <c r="R135" s="11">
        <v>93523.75</v>
      </c>
      <c r="S135" s="12">
        <v>12198.75</v>
      </c>
      <c r="T135" s="3">
        <f t="shared" si="5"/>
        <v>688822750</v>
      </c>
    </row>
    <row r="136" spans="1:20" x14ac:dyDescent="0.3">
      <c r="A136" s="46">
        <v>44986</v>
      </c>
      <c r="B136" s="4">
        <v>2023</v>
      </c>
      <c r="C136" s="18" t="str">
        <f t="shared" si="4"/>
        <v>Mar</v>
      </c>
      <c r="D136" s="4" t="s">
        <v>11</v>
      </c>
      <c r="E136" s="4" t="s">
        <v>16</v>
      </c>
      <c r="F136" s="4">
        <v>149</v>
      </c>
      <c r="G136" s="4" t="s">
        <v>33</v>
      </c>
      <c r="H136" t="s">
        <v>58</v>
      </c>
      <c r="I136" s="6">
        <v>110000</v>
      </c>
      <c r="J136" s="7">
        <v>0.28000000000000003</v>
      </c>
      <c r="K136" s="20">
        <v>0.18</v>
      </c>
      <c r="L136" s="19">
        <v>140800</v>
      </c>
      <c r="M136" s="6">
        <v>129800</v>
      </c>
      <c r="N136" s="19">
        <v>-11000</v>
      </c>
      <c r="O136" s="19">
        <v>11508569600</v>
      </c>
      <c r="P136" s="19">
        <v>12200881989.999998</v>
      </c>
      <c r="Q136" s="4">
        <v>81737</v>
      </c>
      <c r="R136" s="11">
        <v>93997.549999999988</v>
      </c>
      <c r="S136" s="12">
        <v>12260.549999999988</v>
      </c>
      <c r="T136" s="3">
        <f t="shared" si="5"/>
        <v>692312389.99999809</v>
      </c>
    </row>
    <row r="137" spans="1:20" x14ac:dyDescent="0.3">
      <c r="A137" s="45">
        <v>45017</v>
      </c>
      <c r="B137">
        <v>2023</v>
      </c>
      <c r="C137" s="18" t="str">
        <f t="shared" si="4"/>
        <v>Apr</v>
      </c>
      <c r="D137" t="s">
        <v>11</v>
      </c>
      <c r="E137" t="s">
        <v>16</v>
      </c>
      <c r="F137">
        <v>149</v>
      </c>
      <c r="G137" t="s">
        <v>33</v>
      </c>
      <c r="H137" t="s">
        <v>58</v>
      </c>
      <c r="I137" s="3">
        <v>110000</v>
      </c>
      <c r="J137" s="2">
        <v>0.28000000000000003</v>
      </c>
      <c r="K137" s="20">
        <v>0.18</v>
      </c>
      <c r="L137" s="19">
        <v>140800</v>
      </c>
      <c r="M137" s="3">
        <v>129800</v>
      </c>
      <c r="N137" s="19">
        <v>-11000</v>
      </c>
      <c r="O137" s="19">
        <v>10915379200</v>
      </c>
      <c r="P137" s="19">
        <v>11572007479.999998</v>
      </c>
      <c r="Q137">
        <v>77524</v>
      </c>
      <c r="R137" s="11">
        <v>89152.599999999991</v>
      </c>
      <c r="S137" s="12">
        <v>11628.599999999991</v>
      </c>
      <c r="T137" s="3">
        <f t="shared" si="5"/>
        <v>656628279.99999809</v>
      </c>
    </row>
    <row r="138" spans="1:20" x14ac:dyDescent="0.3">
      <c r="A138" s="46">
        <v>45047</v>
      </c>
      <c r="B138" s="4">
        <v>2023</v>
      </c>
      <c r="C138" s="18" t="str">
        <f t="shared" si="4"/>
        <v>May</v>
      </c>
      <c r="D138" s="4" t="s">
        <v>11</v>
      </c>
      <c r="E138" s="4" t="s">
        <v>16</v>
      </c>
      <c r="F138" s="4">
        <v>149</v>
      </c>
      <c r="G138" s="4" t="s">
        <v>33</v>
      </c>
      <c r="H138" t="s">
        <v>58</v>
      </c>
      <c r="I138" s="6">
        <v>110000</v>
      </c>
      <c r="J138" s="7">
        <v>0.28000000000000003</v>
      </c>
      <c r="K138" s="20">
        <v>0.18</v>
      </c>
      <c r="L138" s="19">
        <v>140800</v>
      </c>
      <c r="M138" s="6">
        <v>129800</v>
      </c>
      <c r="N138" s="19">
        <v>-11000</v>
      </c>
      <c r="O138" s="19">
        <v>10032281600</v>
      </c>
      <c r="P138" s="19">
        <v>10635786039.999998</v>
      </c>
      <c r="Q138" s="4">
        <v>71252</v>
      </c>
      <c r="R138" s="11">
        <v>81939.799999999988</v>
      </c>
      <c r="S138" s="12">
        <v>10687.799999999988</v>
      </c>
      <c r="T138" s="3">
        <f t="shared" si="5"/>
        <v>603504439.99999809</v>
      </c>
    </row>
    <row r="139" spans="1:20" x14ac:dyDescent="0.3">
      <c r="A139" s="45">
        <v>45078</v>
      </c>
      <c r="B139">
        <v>2023</v>
      </c>
      <c r="C139" s="18" t="str">
        <f t="shared" si="4"/>
        <v>Jun</v>
      </c>
      <c r="D139" t="s">
        <v>11</v>
      </c>
      <c r="E139" t="s">
        <v>16</v>
      </c>
      <c r="F139">
        <v>149</v>
      </c>
      <c r="G139" t="s">
        <v>33</v>
      </c>
      <c r="H139" t="s">
        <v>58</v>
      </c>
      <c r="I139" s="3">
        <v>110000</v>
      </c>
      <c r="J139" s="2">
        <v>0.28000000000000003</v>
      </c>
      <c r="K139" s="20">
        <v>0.18</v>
      </c>
      <c r="L139" s="19">
        <v>140800</v>
      </c>
      <c r="M139" s="3">
        <v>129800</v>
      </c>
      <c r="N139" s="19">
        <v>-11000</v>
      </c>
      <c r="O139" s="19">
        <v>8934323200</v>
      </c>
      <c r="P139" s="19">
        <v>9471778579.9999981</v>
      </c>
      <c r="Q139">
        <v>63454</v>
      </c>
      <c r="R139" s="11">
        <v>72972.099999999991</v>
      </c>
      <c r="S139" s="12">
        <v>9518.0999999999913</v>
      </c>
      <c r="T139" s="3">
        <f t="shared" si="5"/>
        <v>537455379.99999809</v>
      </c>
    </row>
    <row r="140" spans="1:20" x14ac:dyDescent="0.3">
      <c r="A140" s="46">
        <v>45108</v>
      </c>
      <c r="B140" s="4">
        <v>2023</v>
      </c>
      <c r="C140" s="18" t="str">
        <f t="shared" si="4"/>
        <v>Jul</v>
      </c>
      <c r="D140" s="4" t="s">
        <v>11</v>
      </c>
      <c r="E140" s="4" t="s">
        <v>16</v>
      </c>
      <c r="F140" s="4">
        <v>149</v>
      </c>
      <c r="G140" s="4" t="s">
        <v>33</v>
      </c>
      <c r="H140" t="s">
        <v>58</v>
      </c>
      <c r="I140" s="6">
        <v>110000</v>
      </c>
      <c r="J140" s="7">
        <v>0.28000000000000003</v>
      </c>
      <c r="K140" s="20">
        <v>0.18</v>
      </c>
      <c r="L140" s="19">
        <v>140800</v>
      </c>
      <c r="M140" s="6">
        <v>129800</v>
      </c>
      <c r="N140" s="19">
        <v>-11000</v>
      </c>
      <c r="O140" s="19">
        <v>10782886400</v>
      </c>
      <c r="P140" s="19">
        <v>11431544410</v>
      </c>
      <c r="Q140" s="4">
        <v>76583</v>
      </c>
      <c r="R140" s="11">
        <v>88070.45</v>
      </c>
      <c r="S140" s="12">
        <v>11487.449999999997</v>
      </c>
      <c r="T140" s="3">
        <f t="shared" si="5"/>
        <v>648658010</v>
      </c>
    </row>
    <row r="141" spans="1:20" x14ac:dyDescent="0.3">
      <c r="A141" s="45">
        <v>45139</v>
      </c>
      <c r="B141">
        <v>2023</v>
      </c>
      <c r="C141" s="18" t="str">
        <f t="shared" si="4"/>
        <v>Aug</v>
      </c>
      <c r="D141" t="s">
        <v>11</v>
      </c>
      <c r="E141" t="s">
        <v>16</v>
      </c>
      <c r="F141">
        <v>149</v>
      </c>
      <c r="G141" t="s">
        <v>33</v>
      </c>
      <c r="H141" t="s">
        <v>58</v>
      </c>
      <c r="I141" s="3">
        <v>110000</v>
      </c>
      <c r="J141" s="2">
        <v>0.28000000000000003</v>
      </c>
      <c r="K141" s="20">
        <v>0.18</v>
      </c>
      <c r="L141" s="19">
        <v>140800</v>
      </c>
      <c r="M141" s="3">
        <v>129800</v>
      </c>
      <c r="N141" s="19">
        <v>-11000</v>
      </c>
      <c r="O141" s="19">
        <v>9806438400</v>
      </c>
      <c r="P141" s="19">
        <v>10396356960</v>
      </c>
      <c r="Q141">
        <v>69648</v>
      </c>
      <c r="R141" s="11">
        <v>80095.199999999997</v>
      </c>
      <c r="S141" s="12">
        <v>10447.199999999997</v>
      </c>
      <c r="T141" s="3">
        <f t="shared" si="5"/>
        <v>589918560</v>
      </c>
    </row>
    <row r="142" spans="1:20" x14ac:dyDescent="0.3">
      <c r="A142" s="46">
        <v>45170</v>
      </c>
      <c r="B142" s="4">
        <v>2023</v>
      </c>
      <c r="C142" s="18" t="str">
        <f t="shared" si="4"/>
        <v>Sep</v>
      </c>
      <c r="D142" s="4" t="s">
        <v>11</v>
      </c>
      <c r="E142" s="4" t="s">
        <v>16</v>
      </c>
      <c r="F142" s="4">
        <v>149</v>
      </c>
      <c r="G142" s="4" t="s">
        <v>33</v>
      </c>
      <c r="H142" t="s">
        <v>58</v>
      </c>
      <c r="I142" s="6">
        <v>110000</v>
      </c>
      <c r="J142" s="7">
        <v>0.28000000000000003</v>
      </c>
      <c r="K142" s="20">
        <v>0.18</v>
      </c>
      <c r="L142" s="19">
        <v>140800</v>
      </c>
      <c r="M142" s="6">
        <v>129800</v>
      </c>
      <c r="N142" s="19">
        <v>-11000</v>
      </c>
      <c r="O142" s="19">
        <v>10132531200</v>
      </c>
      <c r="P142" s="19">
        <v>10742066279.999998</v>
      </c>
      <c r="Q142" s="4">
        <v>71964</v>
      </c>
      <c r="R142" s="11">
        <v>82758.599999999991</v>
      </c>
      <c r="S142" s="12">
        <v>10794.599999999991</v>
      </c>
      <c r="T142" s="3">
        <f t="shared" si="5"/>
        <v>609535079.99999809</v>
      </c>
    </row>
    <row r="143" spans="1:20" x14ac:dyDescent="0.3">
      <c r="A143" s="45">
        <v>45200</v>
      </c>
      <c r="B143">
        <v>2023</v>
      </c>
      <c r="C143" s="18" t="str">
        <f t="shared" si="4"/>
        <v>Oct</v>
      </c>
      <c r="D143" t="s">
        <v>11</v>
      </c>
      <c r="E143" t="s">
        <v>16</v>
      </c>
      <c r="F143">
        <v>149</v>
      </c>
      <c r="G143" t="s">
        <v>33</v>
      </c>
      <c r="H143" t="s">
        <v>58</v>
      </c>
      <c r="I143" s="3">
        <v>110000</v>
      </c>
      <c r="J143" s="2">
        <v>0.28000000000000003</v>
      </c>
      <c r="K143" s="20">
        <v>0.18</v>
      </c>
      <c r="L143" s="19">
        <v>140800</v>
      </c>
      <c r="M143" s="3">
        <v>129800</v>
      </c>
      <c r="N143" s="19">
        <v>-11000</v>
      </c>
      <c r="O143" s="19">
        <v>9684224000</v>
      </c>
      <c r="P143" s="19">
        <v>10266790600</v>
      </c>
      <c r="Q143">
        <v>68780</v>
      </c>
      <c r="R143" s="11">
        <v>79097</v>
      </c>
      <c r="S143" s="12">
        <v>10317</v>
      </c>
      <c r="T143" s="3">
        <f t="shared" si="5"/>
        <v>582566600</v>
      </c>
    </row>
    <row r="144" spans="1:20" x14ac:dyDescent="0.3">
      <c r="A144" s="46">
        <v>45231</v>
      </c>
      <c r="B144" s="4">
        <v>2023</v>
      </c>
      <c r="C144" s="18" t="str">
        <f t="shared" si="4"/>
        <v>Nov</v>
      </c>
      <c r="D144" s="4" t="s">
        <v>11</v>
      </c>
      <c r="E144" s="4" t="s">
        <v>16</v>
      </c>
      <c r="F144" s="4">
        <v>149</v>
      </c>
      <c r="G144" s="4" t="s">
        <v>33</v>
      </c>
      <c r="H144" t="s">
        <v>58</v>
      </c>
      <c r="I144" s="6">
        <v>110000</v>
      </c>
      <c r="J144" s="7">
        <v>0.28000000000000003</v>
      </c>
      <c r="K144" s="20">
        <v>0.18</v>
      </c>
      <c r="L144" s="19">
        <v>140800</v>
      </c>
      <c r="M144" s="6">
        <v>129800</v>
      </c>
      <c r="N144" s="19">
        <v>-11000</v>
      </c>
      <c r="O144" s="19">
        <v>9548492800</v>
      </c>
      <c r="P144" s="19">
        <v>10122894320</v>
      </c>
      <c r="Q144" s="4">
        <v>67816</v>
      </c>
      <c r="R144" s="11">
        <v>77988.399999999994</v>
      </c>
      <c r="S144" s="12">
        <v>10172.399999999994</v>
      </c>
      <c r="T144" s="3">
        <f t="shared" si="5"/>
        <v>574401520</v>
      </c>
    </row>
    <row r="145" spans="1:20" x14ac:dyDescent="0.3">
      <c r="A145" s="45">
        <v>45261</v>
      </c>
      <c r="B145">
        <v>2023</v>
      </c>
      <c r="C145" s="18" t="str">
        <f t="shared" si="4"/>
        <v>Dec</v>
      </c>
      <c r="D145" t="s">
        <v>11</v>
      </c>
      <c r="E145" t="s">
        <v>16</v>
      </c>
      <c r="F145">
        <v>149</v>
      </c>
      <c r="G145" t="s">
        <v>33</v>
      </c>
      <c r="H145" t="s">
        <v>58</v>
      </c>
      <c r="I145" s="3">
        <v>110000</v>
      </c>
      <c r="J145" s="2">
        <v>0.28000000000000003</v>
      </c>
      <c r="K145" s="20">
        <v>0.18</v>
      </c>
      <c r="L145" s="19">
        <v>140800</v>
      </c>
      <c r="M145" s="3">
        <v>129800</v>
      </c>
      <c r="N145" s="19">
        <v>-11000</v>
      </c>
      <c r="O145" s="19">
        <v>10084518400</v>
      </c>
      <c r="P145" s="19">
        <v>10691165210</v>
      </c>
      <c r="Q145">
        <v>71623</v>
      </c>
      <c r="R145" s="11">
        <v>82366.45</v>
      </c>
      <c r="S145" s="12">
        <v>10743.449999999997</v>
      </c>
      <c r="T145" s="3">
        <f t="shared" si="5"/>
        <v>606646810</v>
      </c>
    </row>
    <row r="146" spans="1:20" x14ac:dyDescent="0.3">
      <c r="A146" s="46">
        <v>45292</v>
      </c>
      <c r="B146" s="4">
        <v>2024</v>
      </c>
      <c r="C146" s="18" t="str">
        <f t="shared" si="4"/>
        <v>Jan</v>
      </c>
      <c r="D146" s="4" t="s">
        <v>11</v>
      </c>
      <c r="E146" s="4" t="s">
        <v>16</v>
      </c>
      <c r="F146" s="4">
        <v>149</v>
      </c>
      <c r="G146" s="4" t="s">
        <v>33</v>
      </c>
      <c r="H146" t="s">
        <v>58</v>
      </c>
      <c r="I146" s="6">
        <v>110000</v>
      </c>
      <c r="J146" s="7">
        <v>0.28000000000000003</v>
      </c>
      <c r="K146" s="20">
        <v>0.18</v>
      </c>
      <c r="L146" s="19">
        <v>140800</v>
      </c>
      <c r="M146" s="6">
        <v>129800</v>
      </c>
      <c r="N146" s="19">
        <v>-11000</v>
      </c>
      <c r="O146" s="19">
        <v>12019532800</v>
      </c>
      <c r="P146" s="19">
        <v>12742582820</v>
      </c>
      <c r="Q146" s="4">
        <v>85366</v>
      </c>
      <c r="R146" s="11">
        <v>98170.9</v>
      </c>
      <c r="S146" s="12">
        <v>12804.899999999994</v>
      </c>
      <c r="T146" s="3">
        <f t="shared" si="5"/>
        <v>723050020</v>
      </c>
    </row>
    <row r="147" spans="1:20" x14ac:dyDescent="0.3">
      <c r="A147" s="45">
        <v>45323</v>
      </c>
      <c r="B147">
        <v>2024</v>
      </c>
      <c r="C147" s="18" t="str">
        <f t="shared" si="4"/>
        <v>Feb</v>
      </c>
      <c r="D147" t="s">
        <v>11</v>
      </c>
      <c r="E147" t="s">
        <v>16</v>
      </c>
      <c r="F147">
        <v>149</v>
      </c>
      <c r="G147" t="s">
        <v>33</v>
      </c>
      <c r="H147" t="s">
        <v>58</v>
      </c>
      <c r="I147" s="3">
        <v>110000</v>
      </c>
      <c r="J147" s="2">
        <v>0.28000000000000003</v>
      </c>
      <c r="K147" s="20">
        <v>0.18</v>
      </c>
      <c r="L147" s="19">
        <v>140800</v>
      </c>
      <c r="M147" s="3">
        <v>129800</v>
      </c>
      <c r="N147" s="19">
        <v>-11000</v>
      </c>
      <c r="O147" s="19">
        <v>12076134400</v>
      </c>
      <c r="P147" s="19">
        <v>12802589360</v>
      </c>
      <c r="Q147">
        <v>85768</v>
      </c>
      <c r="R147" s="11">
        <v>98633.2</v>
      </c>
      <c r="S147" s="12">
        <v>12865.199999999997</v>
      </c>
      <c r="T147" s="3">
        <f t="shared" si="5"/>
        <v>726454960</v>
      </c>
    </row>
    <row r="148" spans="1:20" x14ac:dyDescent="0.3">
      <c r="A148" s="46">
        <v>45352</v>
      </c>
      <c r="B148" s="4">
        <v>2024</v>
      </c>
      <c r="C148" s="18" t="str">
        <f t="shared" si="4"/>
        <v>Mar</v>
      </c>
      <c r="D148" s="4" t="s">
        <v>11</v>
      </c>
      <c r="E148" s="4" t="s">
        <v>16</v>
      </c>
      <c r="F148" s="4">
        <v>149</v>
      </c>
      <c r="G148" s="4" t="s">
        <v>33</v>
      </c>
      <c r="H148" t="s">
        <v>58</v>
      </c>
      <c r="I148" s="6">
        <v>110000</v>
      </c>
      <c r="J148" s="7">
        <v>0.28000000000000003</v>
      </c>
      <c r="K148" s="20">
        <v>0.18</v>
      </c>
      <c r="L148" s="19">
        <v>140800</v>
      </c>
      <c r="M148" s="6">
        <v>129800</v>
      </c>
      <c r="N148" s="19">
        <v>-11000</v>
      </c>
      <c r="O148" s="19">
        <v>15407603200</v>
      </c>
      <c r="P148" s="19">
        <v>16334466829.999998</v>
      </c>
      <c r="Q148" s="4">
        <v>109429</v>
      </c>
      <c r="R148" s="11">
        <v>125843.34999999999</v>
      </c>
      <c r="S148" s="12">
        <v>16414.349999999991</v>
      </c>
      <c r="T148" s="3">
        <f t="shared" si="5"/>
        <v>926863629.99999809</v>
      </c>
    </row>
    <row r="149" spans="1:20" x14ac:dyDescent="0.3">
      <c r="A149" s="45">
        <v>45383</v>
      </c>
      <c r="B149">
        <v>2024</v>
      </c>
      <c r="C149" s="18" t="str">
        <f t="shared" si="4"/>
        <v>Apr</v>
      </c>
      <c r="D149" t="s">
        <v>11</v>
      </c>
      <c r="E149" t="s">
        <v>16</v>
      </c>
      <c r="F149">
        <v>149</v>
      </c>
      <c r="G149" t="s">
        <v>33</v>
      </c>
      <c r="H149" t="s">
        <v>58</v>
      </c>
      <c r="I149" s="3">
        <v>110000</v>
      </c>
      <c r="J149" s="2">
        <v>0.28000000000000003</v>
      </c>
      <c r="K149" s="20">
        <v>0.18</v>
      </c>
      <c r="L149" s="19">
        <v>140800</v>
      </c>
      <c r="M149" s="3">
        <v>129800</v>
      </c>
      <c r="N149" s="19">
        <v>-11000</v>
      </c>
      <c r="O149" s="19">
        <v>12268185600</v>
      </c>
      <c r="P149" s="19">
        <v>13006193639.999998</v>
      </c>
      <c r="Q149">
        <v>87132</v>
      </c>
      <c r="R149" s="11">
        <v>100201.79999999999</v>
      </c>
      <c r="S149" s="12">
        <v>13069.799999999988</v>
      </c>
      <c r="T149" s="3">
        <f t="shared" si="5"/>
        <v>738008039.99999809</v>
      </c>
    </row>
    <row r="150" spans="1:20" x14ac:dyDescent="0.3">
      <c r="A150" s="46">
        <v>45413</v>
      </c>
      <c r="B150" s="4">
        <v>2024</v>
      </c>
      <c r="C150" s="18" t="str">
        <f t="shared" si="4"/>
        <v>May</v>
      </c>
      <c r="D150" s="4" t="s">
        <v>11</v>
      </c>
      <c r="E150" s="4" t="s">
        <v>16</v>
      </c>
      <c r="F150" s="4">
        <v>149</v>
      </c>
      <c r="G150" s="4" t="s">
        <v>33</v>
      </c>
      <c r="H150" t="s">
        <v>58</v>
      </c>
      <c r="I150" s="6">
        <v>110000</v>
      </c>
      <c r="J150" s="7">
        <v>0.28000000000000003</v>
      </c>
      <c r="K150" s="20">
        <v>0.18</v>
      </c>
      <c r="L150" s="19">
        <v>140800</v>
      </c>
      <c r="M150" s="6">
        <v>129800</v>
      </c>
      <c r="N150" s="19">
        <v>-11000</v>
      </c>
      <c r="O150" s="19">
        <v>12201024000</v>
      </c>
      <c r="P150" s="19">
        <v>12934991849.999998</v>
      </c>
      <c r="Q150" s="4">
        <v>86655</v>
      </c>
      <c r="R150" s="11">
        <v>99653.249999999985</v>
      </c>
      <c r="S150" s="12">
        <v>12998.249999999985</v>
      </c>
      <c r="T150" s="3">
        <f t="shared" si="5"/>
        <v>733967849.99999809</v>
      </c>
    </row>
    <row r="151" spans="1:20" x14ac:dyDescent="0.3">
      <c r="A151" s="45">
        <v>45444</v>
      </c>
      <c r="B151">
        <v>2024</v>
      </c>
      <c r="C151" s="18" t="str">
        <f t="shared" si="4"/>
        <v>Jun</v>
      </c>
      <c r="D151" t="s">
        <v>11</v>
      </c>
      <c r="E151" t="s">
        <v>16</v>
      </c>
      <c r="F151">
        <v>149</v>
      </c>
      <c r="G151" t="s">
        <v>33</v>
      </c>
      <c r="H151" t="s">
        <v>58</v>
      </c>
      <c r="I151" s="3">
        <v>110000</v>
      </c>
      <c r="J151" s="2">
        <v>0.28000000000000003</v>
      </c>
      <c r="K151" s="20">
        <v>0.18</v>
      </c>
      <c r="L151" s="19">
        <v>140800</v>
      </c>
      <c r="M151" s="3">
        <v>129800</v>
      </c>
      <c r="N151" s="19">
        <v>-11000</v>
      </c>
      <c r="O151" s="19">
        <v>10797529600</v>
      </c>
      <c r="P151" s="19">
        <v>11447068489.999998</v>
      </c>
      <c r="Q151">
        <v>76687</v>
      </c>
      <c r="R151" s="11">
        <v>88190.049999999988</v>
      </c>
      <c r="S151" s="12">
        <v>11503.049999999988</v>
      </c>
      <c r="T151" s="3">
        <f t="shared" si="5"/>
        <v>649538889.99999809</v>
      </c>
    </row>
    <row r="152" spans="1:20" x14ac:dyDescent="0.3">
      <c r="A152" s="46">
        <v>45474</v>
      </c>
      <c r="B152" s="4">
        <v>2024</v>
      </c>
      <c r="C152" s="18" t="str">
        <f t="shared" si="4"/>
        <v>Jul</v>
      </c>
      <c r="D152" s="4" t="s">
        <v>11</v>
      </c>
      <c r="E152" s="4" t="s">
        <v>16</v>
      </c>
      <c r="F152" s="4">
        <v>149</v>
      </c>
      <c r="G152" s="4" t="s">
        <v>33</v>
      </c>
      <c r="H152" t="s">
        <v>58</v>
      </c>
      <c r="I152" s="6">
        <v>110000</v>
      </c>
      <c r="J152" s="7">
        <v>0.28000000000000003</v>
      </c>
      <c r="K152" s="20">
        <v>0.18</v>
      </c>
      <c r="L152" s="19">
        <v>140800</v>
      </c>
      <c r="M152" s="6">
        <v>129800</v>
      </c>
      <c r="N152" s="19">
        <v>-11000</v>
      </c>
      <c r="O152" s="19">
        <v>8766067200</v>
      </c>
      <c r="P152" s="19">
        <v>9293400929.9999981</v>
      </c>
      <c r="Q152" s="4">
        <v>62259</v>
      </c>
      <c r="R152" s="11">
        <v>71597.849999999991</v>
      </c>
      <c r="S152" s="12">
        <v>9338.8499999999913</v>
      </c>
      <c r="T152" s="3">
        <f t="shared" si="5"/>
        <v>527333729.99999809</v>
      </c>
    </row>
    <row r="153" spans="1:20" x14ac:dyDescent="0.3">
      <c r="A153" s="45">
        <v>45505</v>
      </c>
      <c r="B153">
        <v>2024</v>
      </c>
      <c r="C153" s="18" t="str">
        <f t="shared" si="4"/>
        <v>Aug</v>
      </c>
      <c r="D153" t="s">
        <v>11</v>
      </c>
      <c r="E153" t="s">
        <v>16</v>
      </c>
      <c r="F153">
        <v>149</v>
      </c>
      <c r="G153" t="s">
        <v>33</v>
      </c>
      <c r="H153" t="s">
        <v>58</v>
      </c>
      <c r="I153" s="3">
        <v>110000</v>
      </c>
      <c r="J153" s="2">
        <v>0.28000000000000003</v>
      </c>
      <c r="K153" s="20">
        <v>0.18</v>
      </c>
      <c r="L153" s="19">
        <v>140800</v>
      </c>
      <c r="M153" s="3">
        <v>129800</v>
      </c>
      <c r="N153" s="19">
        <v>-11000</v>
      </c>
      <c r="O153" s="19">
        <v>8888844800</v>
      </c>
      <c r="P153" s="19">
        <v>9423564370</v>
      </c>
      <c r="Q153">
        <v>63131</v>
      </c>
      <c r="R153" s="11">
        <v>72600.649999999994</v>
      </c>
      <c r="S153" s="12">
        <v>9469.6499999999942</v>
      </c>
      <c r="T153" s="3">
        <f t="shared" si="5"/>
        <v>534719570</v>
      </c>
    </row>
    <row r="154" spans="1:20" x14ac:dyDescent="0.3">
      <c r="A154" s="46">
        <v>45536</v>
      </c>
      <c r="B154" s="4">
        <v>2024</v>
      </c>
      <c r="C154" s="18" t="str">
        <f t="shared" si="4"/>
        <v>Sep</v>
      </c>
      <c r="D154" s="4" t="s">
        <v>11</v>
      </c>
      <c r="E154" s="4" t="s">
        <v>16</v>
      </c>
      <c r="F154" s="4">
        <v>149</v>
      </c>
      <c r="G154" s="4" t="s">
        <v>33</v>
      </c>
      <c r="H154" t="s">
        <v>58</v>
      </c>
      <c r="I154" s="6">
        <v>110000</v>
      </c>
      <c r="J154" s="7">
        <v>0.28000000000000003</v>
      </c>
      <c r="K154" s="20">
        <v>0.18</v>
      </c>
      <c r="L154" s="19">
        <v>140800</v>
      </c>
      <c r="M154" s="6">
        <v>129800</v>
      </c>
      <c r="N154" s="19">
        <v>-11000</v>
      </c>
      <c r="O154" s="19">
        <v>9610585600</v>
      </c>
      <c r="P154" s="19">
        <v>10188722389.999998</v>
      </c>
      <c r="Q154" s="4">
        <v>68257</v>
      </c>
      <c r="R154" s="11">
        <v>78495.549999999988</v>
      </c>
      <c r="S154" s="12">
        <v>10238.549999999988</v>
      </c>
      <c r="T154" s="3">
        <f t="shared" si="5"/>
        <v>578136789.99999809</v>
      </c>
    </row>
    <row r="155" spans="1:20" x14ac:dyDescent="0.3">
      <c r="A155" s="45">
        <v>45566</v>
      </c>
      <c r="B155">
        <v>2024</v>
      </c>
      <c r="C155" s="18" t="str">
        <f t="shared" si="4"/>
        <v>Oct</v>
      </c>
      <c r="D155" t="s">
        <v>11</v>
      </c>
      <c r="E155" t="s">
        <v>16</v>
      </c>
      <c r="F155">
        <v>149</v>
      </c>
      <c r="G155" t="s">
        <v>33</v>
      </c>
      <c r="H155" t="s">
        <v>58</v>
      </c>
      <c r="I155" s="3">
        <v>110000</v>
      </c>
      <c r="J155" s="2">
        <v>0.28000000000000003</v>
      </c>
      <c r="K155" s="20">
        <v>0.18</v>
      </c>
      <c r="L155" s="19">
        <v>140800</v>
      </c>
      <c r="M155" s="3">
        <v>129800</v>
      </c>
      <c r="N155" s="19">
        <v>-11000</v>
      </c>
      <c r="O155" s="19">
        <v>9774617600</v>
      </c>
      <c r="P155" s="19">
        <v>10362621939.999998</v>
      </c>
      <c r="Q155">
        <v>69422</v>
      </c>
      <c r="R155" s="11">
        <v>79835.299999999988</v>
      </c>
      <c r="S155" s="12">
        <v>10413.299999999988</v>
      </c>
      <c r="T155" s="3">
        <f t="shared" si="5"/>
        <v>588004339.99999809</v>
      </c>
    </row>
    <row r="156" spans="1:20" x14ac:dyDescent="0.3">
      <c r="A156" s="46">
        <v>45597</v>
      </c>
      <c r="B156" s="4">
        <v>2024</v>
      </c>
      <c r="C156" s="18" t="str">
        <f t="shared" si="4"/>
        <v>Nov</v>
      </c>
      <c r="D156" s="4" t="s">
        <v>11</v>
      </c>
      <c r="E156" s="4" t="s">
        <v>16</v>
      </c>
      <c r="F156" s="4">
        <v>149</v>
      </c>
      <c r="G156" s="4" t="s">
        <v>33</v>
      </c>
      <c r="H156" t="s">
        <v>58</v>
      </c>
      <c r="I156" s="6">
        <v>110000</v>
      </c>
      <c r="J156" s="7">
        <v>0.28000000000000003</v>
      </c>
      <c r="K156" s="20">
        <v>0.18</v>
      </c>
      <c r="L156" s="19">
        <v>140800</v>
      </c>
      <c r="M156" s="6">
        <v>129800</v>
      </c>
      <c r="N156" s="19">
        <v>-11000</v>
      </c>
      <c r="O156" s="19">
        <v>9886412800</v>
      </c>
      <c r="P156" s="19">
        <v>10481142320</v>
      </c>
      <c r="Q156" s="4">
        <v>70216</v>
      </c>
      <c r="R156" s="11">
        <v>80748.399999999994</v>
      </c>
      <c r="S156" s="12">
        <v>10532.399999999994</v>
      </c>
      <c r="T156" s="3">
        <f t="shared" si="5"/>
        <v>594729520</v>
      </c>
    </row>
    <row r="157" spans="1:20" x14ac:dyDescent="0.3">
      <c r="A157" s="45">
        <v>45627</v>
      </c>
      <c r="B157">
        <v>2024</v>
      </c>
      <c r="C157" s="18" t="str">
        <f t="shared" si="4"/>
        <v>Dec</v>
      </c>
      <c r="D157" t="s">
        <v>11</v>
      </c>
      <c r="E157" t="s">
        <v>16</v>
      </c>
      <c r="F157">
        <v>149</v>
      </c>
      <c r="G157" t="s">
        <v>33</v>
      </c>
      <c r="H157" t="s">
        <v>58</v>
      </c>
      <c r="I157" s="3">
        <v>110000</v>
      </c>
      <c r="J157" s="2">
        <v>0.28000000000000003</v>
      </c>
      <c r="K157" s="20">
        <v>0.18</v>
      </c>
      <c r="L157" s="19">
        <v>140800</v>
      </c>
      <c r="M157" s="3">
        <v>129800</v>
      </c>
      <c r="N157" s="19">
        <v>-11000</v>
      </c>
      <c r="O157" s="19">
        <v>10323033600</v>
      </c>
      <c r="P157" s="19">
        <v>10944028589.999998</v>
      </c>
      <c r="Q157">
        <v>73317</v>
      </c>
      <c r="R157" s="11">
        <v>84314.549999999988</v>
      </c>
      <c r="S157" s="12">
        <v>10997.549999999988</v>
      </c>
      <c r="T157" s="3">
        <f t="shared" si="5"/>
        <v>620994989.99999809</v>
      </c>
    </row>
    <row r="158" spans="1:20" x14ac:dyDescent="0.3">
      <c r="A158" s="46">
        <v>45658</v>
      </c>
      <c r="B158" s="4">
        <v>2025</v>
      </c>
      <c r="C158" s="18" t="str">
        <f t="shared" si="4"/>
        <v>Jan</v>
      </c>
      <c r="D158" s="4" t="s">
        <v>11</v>
      </c>
      <c r="E158" s="4" t="s">
        <v>16</v>
      </c>
      <c r="F158" s="4">
        <v>149</v>
      </c>
      <c r="G158" s="4" t="s">
        <v>33</v>
      </c>
      <c r="H158" t="s">
        <v>58</v>
      </c>
      <c r="I158" s="6">
        <v>110000</v>
      </c>
      <c r="J158" s="7">
        <v>0.28000000000000003</v>
      </c>
      <c r="K158" s="20">
        <v>0.18</v>
      </c>
      <c r="L158" s="19">
        <v>140800</v>
      </c>
      <c r="M158" s="6">
        <v>129800</v>
      </c>
      <c r="N158" s="19">
        <v>-11000</v>
      </c>
      <c r="O158" s="19">
        <v>12580339200</v>
      </c>
      <c r="P158" s="19">
        <v>13337125229.999998</v>
      </c>
      <c r="Q158" s="4">
        <v>89349</v>
      </c>
      <c r="R158" s="11">
        <v>102751.34999999999</v>
      </c>
      <c r="S158" s="12">
        <v>13402.349999999991</v>
      </c>
      <c r="T158" s="3">
        <f t="shared" si="5"/>
        <v>756786029.99999809</v>
      </c>
    </row>
    <row r="159" spans="1:20" x14ac:dyDescent="0.3">
      <c r="A159" s="45">
        <v>45689</v>
      </c>
      <c r="B159">
        <v>2025</v>
      </c>
      <c r="C159" s="18" t="str">
        <f t="shared" si="4"/>
        <v>Feb</v>
      </c>
      <c r="D159" t="s">
        <v>11</v>
      </c>
      <c r="E159" t="s">
        <v>16</v>
      </c>
      <c r="F159">
        <v>149</v>
      </c>
      <c r="G159" t="s">
        <v>33</v>
      </c>
      <c r="H159" t="s">
        <v>58</v>
      </c>
      <c r="I159" s="3">
        <v>110000</v>
      </c>
      <c r="J159" s="2">
        <v>0.28000000000000003</v>
      </c>
      <c r="K159" s="20">
        <v>0.18</v>
      </c>
      <c r="L159" s="19">
        <v>140800</v>
      </c>
      <c r="M159" s="3">
        <v>129800</v>
      </c>
      <c r="N159" s="19">
        <v>-11000</v>
      </c>
      <c r="O159" s="19">
        <v>11070540800</v>
      </c>
      <c r="P159" s="19">
        <v>11736503020</v>
      </c>
      <c r="Q159">
        <v>78626</v>
      </c>
      <c r="R159" s="11">
        <v>90419.9</v>
      </c>
      <c r="S159" s="12">
        <v>11793.899999999994</v>
      </c>
      <c r="T159" s="3">
        <f t="shared" si="5"/>
        <v>665962220</v>
      </c>
    </row>
    <row r="160" spans="1:20" x14ac:dyDescent="0.3">
      <c r="A160" s="46">
        <v>45717</v>
      </c>
      <c r="B160" s="4">
        <v>2025</v>
      </c>
      <c r="C160" s="18" t="str">
        <f t="shared" si="4"/>
        <v>Mar</v>
      </c>
      <c r="D160" s="4" t="s">
        <v>11</v>
      </c>
      <c r="E160" s="4" t="s">
        <v>16</v>
      </c>
      <c r="F160" s="4">
        <v>149</v>
      </c>
      <c r="G160" s="4" t="s">
        <v>33</v>
      </c>
      <c r="H160" t="s">
        <v>58</v>
      </c>
      <c r="I160" s="6">
        <v>110000</v>
      </c>
      <c r="J160" s="7">
        <v>0.28000000000000003</v>
      </c>
      <c r="K160" s="20">
        <v>0.18</v>
      </c>
      <c r="L160" s="19">
        <v>140800</v>
      </c>
      <c r="M160" s="6">
        <v>129800</v>
      </c>
      <c r="N160" s="19">
        <v>-11000</v>
      </c>
      <c r="O160" s="19">
        <v>11094195200</v>
      </c>
      <c r="P160" s="19">
        <v>11761580379.999998</v>
      </c>
      <c r="Q160" s="4">
        <v>78794</v>
      </c>
      <c r="R160" s="11">
        <v>90613.099999999991</v>
      </c>
      <c r="S160" s="12">
        <v>11819.099999999991</v>
      </c>
      <c r="T160" s="3">
        <f t="shared" si="5"/>
        <v>667385179.99999809</v>
      </c>
    </row>
    <row r="161" spans="1:20" x14ac:dyDescent="0.3">
      <c r="A161" s="45">
        <v>45748</v>
      </c>
      <c r="B161">
        <v>2025</v>
      </c>
      <c r="C161" s="18" t="str">
        <f t="shared" si="4"/>
        <v>Apr</v>
      </c>
      <c r="D161" t="s">
        <v>11</v>
      </c>
      <c r="E161" t="s">
        <v>16</v>
      </c>
      <c r="F161">
        <v>149</v>
      </c>
      <c r="G161" t="s">
        <v>33</v>
      </c>
      <c r="H161" t="s">
        <v>58</v>
      </c>
      <c r="I161" s="3">
        <v>110000</v>
      </c>
      <c r="J161" s="2">
        <v>0.28000000000000003</v>
      </c>
      <c r="K161" s="20">
        <v>0.18</v>
      </c>
      <c r="L161" s="19">
        <v>140800</v>
      </c>
      <c r="M161" s="3">
        <v>129800</v>
      </c>
      <c r="N161" s="19">
        <v>-11000</v>
      </c>
      <c r="O161" s="19">
        <v>11882956800</v>
      </c>
      <c r="P161" s="19">
        <v>12597790920</v>
      </c>
      <c r="Q161">
        <v>84396</v>
      </c>
      <c r="R161" s="11">
        <v>97055.4</v>
      </c>
      <c r="S161" s="12">
        <v>12659.399999999994</v>
      </c>
      <c r="T161" s="3">
        <f t="shared" si="5"/>
        <v>714834120</v>
      </c>
    </row>
    <row r="162" spans="1:20" x14ac:dyDescent="0.3">
      <c r="A162" s="46">
        <v>45778</v>
      </c>
      <c r="B162" s="4">
        <v>2025</v>
      </c>
      <c r="C162" s="18" t="str">
        <f t="shared" si="4"/>
        <v>May</v>
      </c>
      <c r="D162" s="4" t="s">
        <v>11</v>
      </c>
      <c r="E162" s="4" t="s">
        <v>16</v>
      </c>
      <c r="F162" s="4">
        <v>149</v>
      </c>
      <c r="G162" s="4" t="s">
        <v>33</v>
      </c>
      <c r="H162" t="s">
        <v>58</v>
      </c>
      <c r="I162" s="6">
        <v>110000</v>
      </c>
      <c r="J162" s="7">
        <v>0.28000000000000003</v>
      </c>
      <c r="K162" s="20">
        <v>0.18</v>
      </c>
      <c r="L162" s="19">
        <v>140800</v>
      </c>
      <c r="M162" s="6">
        <v>129800</v>
      </c>
      <c r="N162" s="19">
        <v>-11000</v>
      </c>
      <c r="O162" s="19">
        <v>11170931200</v>
      </c>
      <c r="P162" s="19">
        <v>11842932529.999998</v>
      </c>
      <c r="Q162" s="4">
        <v>79339</v>
      </c>
      <c r="R162" s="11">
        <v>91239.849999999991</v>
      </c>
      <c r="S162" s="12">
        <v>11900.849999999991</v>
      </c>
      <c r="T162" s="3">
        <f t="shared" si="5"/>
        <v>672001329.99999809</v>
      </c>
    </row>
    <row r="163" spans="1:20" x14ac:dyDescent="0.3">
      <c r="A163" s="45">
        <v>45809</v>
      </c>
      <c r="B163">
        <v>2025</v>
      </c>
      <c r="C163" s="18" t="str">
        <f t="shared" si="4"/>
        <v>Jun</v>
      </c>
      <c r="D163" t="s">
        <v>11</v>
      </c>
      <c r="E163" t="s">
        <v>16</v>
      </c>
      <c r="F163">
        <v>149</v>
      </c>
      <c r="G163" t="s">
        <v>33</v>
      </c>
      <c r="H163" t="s">
        <v>58</v>
      </c>
      <c r="I163" s="3">
        <v>110000</v>
      </c>
      <c r="J163" s="2">
        <v>0.28000000000000003</v>
      </c>
      <c r="K163" s="20">
        <v>0.18</v>
      </c>
      <c r="L163" s="19">
        <v>140800</v>
      </c>
      <c r="M163" s="3">
        <v>129800</v>
      </c>
      <c r="N163" s="19">
        <v>-11000</v>
      </c>
      <c r="O163" s="19">
        <v>11001126400</v>
      </c>
      <c r="P163" s="19">
        <v>11662912910</v>
      </c>
      <c r="Q163">
        <v>78133</v>
      </c>
      <c r="R163" s="11">
        <v>89852.95</v>
      </c>
      <c r="S163" s="12">
        <v>11719.949999999997</v>
      </c>
      <c r="T163" s="3">
        <f t="shared" si="5"/>
        <v>661786510</v>
      </c>
    </row>
    <row r="164" spans="1:20" x14ac:dyDescent="0.3">
      <c r="A164" s="46">
        <v>45839</v>
      </c>
      <c r="B164" s="4">
        <v>2025</v>
      </c>
      <c r="C164" s="18" t="str">
        <f t="shared" si="4"/>
        <v>Jul</v>
      </c>
      <c r="D164" s="4" t="s">
        <v>11</v>
      </c>
      <c r="E164" s="4" t="s">
        <v>16</v>
      </c>
      <c r="F164" s="4">
        <v>149</v>
      </c>
      <c r="G164" s="4" t="s">
        <v>33</v>
      </c>
      <c r="H164" t="s">
        <v>58</v>
      </c>
      <c r="I164" s="6">
        <v>110000</v>
      </c>
      <c r="J164" s="7">
        <v>0.28000000000000003</v>
      </c>
      <c r="K164" s="20">
        <v>0.18</v>
      </c>
      <c r="L164" s="19">
        <v>140800</v>
      </c>
      <c r="M164" s="6">
        <v>129800</v>
      </c>
      <c r="N164" s="19">
        <v>-11000</v>
      </c>
      <c r="O164" s="19">
        <v>9541030400</v>
      </c>
      <c r="P164" s="19">
        <v>10114983010</v>
      </c>
      <c r="Q164" s="4">
        <v>67763</v>
      </c>
      <c r="R164" s="11">
        <v>77927.45</v>
      </c>
      <c r="S164" s="12">
        <v>10164.449999999997</v>
      </c>
      <c r="T164" s="3">
        <f t="shared" si="5"/>
        <v>573952610</v>
      </c>
    </row>
    <row r="165" spans="1:20" x14ac:dyDescent="0.3">
      <c r="A165" s="45">
        <v>45870</v>
      </c>
      <c r="B165">
        <v>2025</v>
      </c>
      <c r="C165" s="18" t="str">
        <f t="shared" si="4"/>
        <v>Aug</v>
      </c>
      <c r="D165" t="s">
        <v>11</v>
      </c>
      <c r="E165" t="s">
        <v>16</v>
      </c>
      <c r="F165">
        <v>149</v>
      </c>
      <c r="G165" t="s">
        <v>33</v>
      </c>
      <c r="H165" t="s">
        <v>58</v>
      </c>
      <c r="I165" s="3">
        <v>110000</v>
      </c>
      <c r="J165" s="2">
        <v>0.28000000000000003</v>
      </c>
      <c r="K165" s="20">
        <v>0.18</v>
      </c>
      <c r="L165" s="19">
        <v>140800</v>
      </c>
      <c r="M165" s="3">
        <v>129800</v>
      </c>
      <c r="N165" s="19">
        <v>-11000</v>
      </c>
      <c r="O165" s="19">
        <v>9741670400</v>
      </c>
      <c r="P165" s="19">
        <v>10327692760</v>
      </c>
      <c r="Q165">
        <v>69188</v>
      </c>
      <c r="R165" s="11">
        <v>79566.2</v>
      </c>
      <c r="S165" s="12">
        <v>10378.199999999997</v>
      </c>
      <c r="T165" s="3">
        <f t="shared" si="5"/>
        <v>586022360</v>
      </c>
    </row>
    <row r="166" spans="1:20" x14ac:dyDescent="0.3">
      <c r="A166" s="46">
        <v>45901</v>
      </c>
      <c r="B166" s="4">
        <v>2025</v>
      </c>
      <c r="C166" s="18" t="str">
        <f t="shared" si="4"/>
        <v>Sep</v>
      </c>
      <c r="D166" s="4" t="s">
        <v>11</v>
      </c>
      <c r="E166" s="4" t="s">
        <v>16</v>
      </c>
      <c r="F166" s="4">
        <v>149</v>
      </c>
      <c r="G166" s="4" t="s">
        <v>33</v>
      </c>
      <c r="H166" t="s">
        <v>58</v>
      </c>
      <c r="I166" s="6">
        <v>110000</v>
      </c>
      <c r="J166" s="7">
        <v>0.28000000000000003</v>
      </c>
      <c r="K166" s="20">
        <v>0.18</v>
      </c>
      <c r="L166" s="19">
        <v>140800</v>
      </c>
      <c r="M166" s="6">
        <v>129800</v>
      </c>
      <c r="N166" s="19">
        <v>-11000</v>
      </c>
      <c r="O166" s="19">
        <v>7770470400</v>
      </c>
      <c r="P166" s="19">
        <v>8237912760</v>
      </c>
      <c r="Q166" s="4">
        <v>55188</v>
      </c>
      <c r="R166" s="11">
        <v>63466.2</v>
      </c>
      <c r="S166" s="12">
        <v>8278.1999999999971</v>
      </c>
      <c r="T166" s="3">
        <f t="shared" si="5"/>
        <v>467442360</v>
      </c>
    </row>
    <row r="167" spans="1:20" x14ac:dyDescent="0.3">
      <c r="A167" s="45">
        <v>44927</v>
      </c>
      <c r="B167">
        <v>2023</v>
      </c>
      <c r="C167" s="18" t="str">
        <f t="shared" si="4"/>
        <v>Jan</v>
      </c>
      <c r="D167" t="s">
        <v>11</v>
      </c>
      <c r="E167" t="s">
        <v>17</v>
      </c>
      <c r="F167">
        <v>160</v>
      </c>
      <c r="G167" t="s">
        <v>34</v>
      </c>
      <c r="H167" t="s">
        <v>59</v>
      </c>
      <c r="I167" s="3">
        <v>125000</v>
      </c>
      <c r="J167" s="2">
        <v>0.28000000000000003</v>
      </c>
      <c r="K167" s="20">
        <v>0.18</v>
      </c>
      <c r="L167" s="19">
        <v>160000</v>
      </c>
      <c r="M167" s="3">
        <v>147500</v>
      </c>
      <c r="N167" s="19">
        <v>-12500</v>
      </c>
      <c r="O167" s="19">
        <v>8137440000</v>
      </c>
      <c r="P167" s="19">
        <v>7876787625.000001</v>
      </c>
      <c r="Q167">
        <v>50859</v>
      </c>
      <c r="R167" s="11">
        <v>53401.950000000004</v>
      </c>
      <c r="S167" s="12">
        <v>2542.9500000000044</v>
      </c>
      <c r="T167" s="3">
        <f t="shared" si="5"/>
        <v>-260652374.99999905</v>
      </c>
    </row>
    <row r="168" spans="1:20" x14ac:dyDescent="0.3">
      <c r="A168" s="46">
        <v>44958</v>
      </c>
      <c r="B168" s="4">
        <v>2023</v>
      </c>
      <c r="C168" s="18" t="str">
        <f t="shared" si="4"/>
        <v>Feb</v>
      </c>
      <c r="D168" s="4" t="s">
        <v>11</v>
      </c>
      <c r="E168" s="4" t="s">
        <v>17</v>
      </c>
      <c r="F168" s="4">
        <v>160</v>
      </c>
      <c r="G168" s="4" t="s">
        <v>34</v>
      </c>
      <c r="H168" t="s">
        <v>59</v>
      </c>
      <c r="I168" s="6">
        <v>125000</v>
      </c>
      <c r="J168" s="7">
        <v>0.28000000000000003</v>
      </c>
      <c r="K168" s="20">
        <v>0.18</v>
      </c>
      <c r="L168" s="19">
        <v>160000</v>
      </c>
      <c r="M168" s="6">
        <v>147500</v>
      </c>
      <c r="N168" s="19">
        <v>-12500</v>
      </c>
      <c r="O168" s="19">
        <v>8410720000</v>
      </c>
      <c r="P168" s="19">
        <v>8141314125.000001</v>
      </c>
      <c r="Q168" s="4">
        <v>52567</v>
      </c>
      <c r="R168" s="11">
        <v>55195.350000000006</v>
      </c>
      <c r="S168" s="12">
        <v>2628.3500000000058</v>
      </c>
      <c r="T168" s="3">
        <f t="shared" si="5"/>
        <v>-269405874.99999905</v>
      </c>
    </row>
    <row r="169" spans="1:20" x14ac:dyDescent="0.3">
      <c r="A169" s="45">
        <v>44986</v>
      </c>
      <c r="B169">
        <v>2023</v>
      </c>
      <c r="C169" s="18" t="str">
        <f t="shared" si="4"/>
        <v>Mar</v>
      </c>
      <c r="D169" t="s">
        <v>11</v>
      </c>
      <c r="E169" t="s">
        <v>17</v>
      </c>
      <c r="F169">
        <v>160</v>
      </c>
      <c r="G169" t="s">
        <v>34</v>
      </c>
      <c r="H169" t="s">
        <v>59</v>
      </c>
      <c r="I169" s="3">
        <v>125000</v>
      </c>
      <c r="J169" s="2">
        <v>0.28000000000000003</v>
      </c>
      <c r="K169" s="20">
        <v>0.18</v>
      </c>
      <c r="L169" s="19">
        <v>160000</v>
      </c>
      <c r="M169" s="3">
        <v>147500</v>
      </c>
      <c r="N169" s="19">
        <v>-12500</v>
      </c>
      <c r="O169" s="19">
        <v>8706880000</v>
      </c>
      <c r="P169" s="19">
        <v>8427987750</v>
      </c>
      <c r="Q169">
        <v>54418</v>
      </c>
      <c r="R169" s="11">
        <v>57138.9</v>
      </c>
      <c r="S169" s="12">
        <v>2720.9000000000015</v>
      </c>
      <c r="T169" s="3">
        <f t="shared" si="5"/>
        <v>-278892250</v>
      </c>
    </row>
    <row r="170" spans="1:20" x14ac:dyDescent="0.3">
      <c r="A170" s="46">
        <v>45017</v>
      </c>
      <c r="B170" s="4">
        <v>2023</v>
      </c>
      <c r="C170" s="18" t="str">
        <f t="shared" si="4"/>
        <v>Apr</v>
      </c>
      <c r="D170" s="4" t="s">
        <v>11</v>
      </c>
      <c r="E170" s="4" t="s">
        <v>17</v>
      </c>
      <c r="F170" s="4">
        <v>160</v>
      </c>
      <c r="G170" s="4" t="s">
        <v>34</v>
      </c>
      <c r="H170" t="s">
        <v>59</v>
      </c>
      <c r="I170" s="6">
        <v>125000</v>
      </c>
      <c r="J170" s="7">
        <v>0.28000000000000003</v>
      </c>
      <c r="K170" s="20">
        <v>0.18</v>
      </c>
      <c r="L170" s="19">
        <v>160000</v>
      </c>
      <c r="M170" s="6">
        <v>147500</v>
      </c>
      <c r="N170" s="19">
        <v>-12500</v>
      </c>
      <c r="O170" s="19">
        <v>9680000000</v>
      </c>
      <c r="P170" s="19">
        <v>9369937500</v>
      </c>
      <c r="Q170" s="4">
        <v>60500</v>
      </c>
      <c r="R170" s="11">
        <v>63525</v>
      </c>
      <c r="S170" s="12">
        <v>3025</v>
      </c>
      <c r="T170" s="3">
        <f t="shared" si="5"/>
        <v>-310062500</v>
      </c>
    </row>
    <row r="171" spans="1:20" x14ac:dyDescent="0.3">
      <c r="A171" s="45">
        <v>45047</v>
      </c>
      <c r="B171">
        <v>2023</v>
      </c>
      <c r="C171" s="18" t="str">
        <f t="shared" si="4"/>
        <v>May</v>
      </c>
      <c r="D171" t="s">
        <v>11</v>
      </c>
      <c r="E171" t="s">
        <v>17</v>
      </c>
      <c r="F171">
        <v>160</v>
      </c>
      <c r="G171" t="s">
        <v>34</v>
      </c>
      <c r="H171" t="s">
        <v>59</v>
      </c>
      <c r="I171" s="3">
        <v>125000</v>
      </c>
      <c r="J171" s="2">
        <v>0.28000000000000003</v>
      </c>
      <c r="K171" s="20">
        <v>0.18</v>
      </c>
      <c r="L171" s="19">
        <v>160000</v>
      </c>
      <c r="M171" s="3">
        <v>147500</v>
      </c>
      <c r="N171" s="19">
        <v>-12500</v>
      </c>
      <c r="O171" s="19">
        <v>8959840000</v>
      </c>
      <c r="P171" s="19">
        <v>8672845125</v>
      </c>
      <c r="Q171">
        <v>55999</v>
      </c>
      <c r="R171" s="11">
        <v>58798.950000000004</v>
      </c>
      <c r="S171" s="12">
        <v>2799.9500000000044</v>
      </c>
      <c r="T171" s="3">
        <f t="shared" si="5"/>
        <v>-286994875</v>
      </c>
    </row>
    <row r="172" spans="1:20" x14ac:dyDescent="0.3">
      <c r="A172" s="46">
        <v>45078</v>
      </c>
      <c r="B172" s="4">
        <v>2023</v>
      </c>
      <c r="C172" s="18" t="str">
        <f t="shared" si="4"/>
        <v>Jun</v>
      </c>
      <c r="D172" s="4" t="s">
        <v>11</v>
      </c>
      <c r="E172" s="4" t="s">
        <v>17</v>
      </c>
      <c r="F172" s="4">
        <v>160</v>
      </c>
      <c r="G172" s="4" t="s">
        <v>34</v>
      </c>
      <c r="H172" t="s">
        <v>59</v>
      </c>
      <c r="I172" s="6">
        <v>125000</v>
      </c>
      <c r="J172" s="7">
        <v>0.28000000000000003</v>
      </c>
      <c r="K172" s="20">
        <v>0.18</v>
      </c>
      <c r="L172" s="19">
        <v>160000</v>
      </c>
      <c r="M172" s="6">
        <v>147500</v>
      </c>
      <c r="N172" s="19">
        <v>-12500</v>
      </c>
      <c r="O172" s="19">
        <v>8085440000</v>
      </c>
      <c r="P172" s="19">
        <v>7826453250.000001</v>
      </c>
      <c r="Q172" s="4">
        <v>50534</v>
      </c>
      <c r="R172" s="11">
        <v>53060.700000000004</v>
      </c>
      <c r="S172" s="12">
        <v>2526.7000000000044</v>
      </c>
      <c r="T172" s="3">
        <f t="shared" si="5"/>
        <v>-258986749.99999905</v>
      </c>
    </row>
    <row r="173" spans="1:20" x14ac:dyDescent="0.3">
      <c r="A173" s="45">
        <v>45108</v>
      </c>
      <c r="B173">
        <v>2023</v>
      </c>
      <c r="C173" s="18" t="str">
        <f t="shared" si="4"/>
        <v>Jul</v>
      </c>
      <c r="D173" t="s">
        <v>11</v>
      </c>
      <c r="E173" t="s">
        <v>17</v>
      </c>
      <c r="F173">
        <v>160</v>
      </c>
      <c r="G173" t="s">
        <v>34</v>
      </c>
      <c r="H173" t="s">
        <v>59</v>
      </c>
      <c r="I173" s="3">
        <v>125000</v>
      </c>
      <c r="J173" s="2">
        <v>0.28000000000000003</v>
      </c>
      <c r="K173" s="20">
        <v>0.18</v>
      </c>
      <c r="L173" s="19">
        <v>160000</v>
      </c>
      <c r="M173" s="3">
        <v>147500</v>
      </c>
      <c r="N173" s="19">
        <v>-12500</v>
      </c>
      <c r="O173" s="19">
        <v>7177440000</v>
      </c>
      <c r="P173" s="19">
        <v>6947537625.000001</v>
      </c>
      <c r="Q173">
        <v>44859</v>
      </c>
      <c r="R173" s="11">
        <v>47101.950000000004</v>
      </c>
      <c r="S173" s="12">
        <v>2242.9500000000044</v>
      </c>
      <c r="T173" s="3">
        <f t="shared" si="5"/>
        <v>-229902374.99999905</v>
      </c>
    </row>
    <row r="174" spans="1:20" x14ac:dyDescent="0.3">
      <c r="A174" s="46">
        <v>45139</v>
      </c>
      <c r="B174" s="4">
        <v>2023</v>
      </c>
      <c r="C174" s="18" t="str">
        <f t="shared" si="4"/>
        <v>Aug</v>
      </c>
      <c r="D174" s="4" t="s">
        <v>11</v>
      </c>
      <c r="E174" s="4" t="s">
        <v>17</v>
      </c>
      <c r="F174" s="4">
        <v>160</v>
      </c>
      <c r="G174" s="4" t="s">
        <v>34</v>
      </c>
      <c r="H174" t="s">
        <v>59</v>
      </c>
      <c r="I174" s="6">
        <v>125000</v>
      </c>
      <c r="J174" s="7">
        <v>0.28000000000000003</v>
      </c>
      <c r="K174" s="20">
        <v>0.18</v>
      </c>
      <c r="L174" s="19">
        <v>160000</v>
      </c>
      <c r="M174" s="6">
        <v>147500</v>
      </c>
      <c r="N174" s="19">
        <v>-12500</v>
      </c>
      <c r="O174" s="19">
        <v>7047680000</v>
      </c>
      <c r="P174" s="19">
        <v>6821934000</v>
      </c>
      <c r="Q174" s="4">
        <v>44048</v>
      </c>
      <c r="R174" s="11">
        <v>46250.400000000001</v>
      </c>
      <c r="S174" s="12">
        <v>2202.4000000000015</v>
      </c>
      <c r="T174" s="3">
        <f t="shared" si="5"/>
        <v>-225746000</v>
      </c>
    </row>
    <row r="175" spans="1:20" x14ac:dyDescent="0.3">
      <c r="A175" s="45">
        <v>45170</v>
      </c>
      <c r="B175">
        <v>2023</v>
      </c>
      <c r="C175" s="18" t="str">
        <f t="shared" si="4"/>
        <v>Sep</v>
      </c>
      <c r="D175" t="s">
        <v>11</v>
      </c>
      <c r="E175" t="s">
        <v>17</v>
      </c>
      <c r="F175">
        <v>160</v>
      </c>
      <c r="G175" t="s">
        <v>34</v>
      </c>
      <c r="H175" t="s">
        <v>59</v>
      </c>
      <c r="I175" s="3">
        <v>125000</v>
      </c>
      <c r="J175" s="2">
        <v>0.28000000000000003</v>
      </c>
      <c r="K175" s="20">
        <v>0.18</v>
      </c>
      <c r="L175" s="19">
        <v>160000</v>
      </c>
      <c r="M175" s="3">
        <v>147500</v>
      </c>
      <c r="N175" s="19">
        <v>-12500</v>
      </c>
      <c r="O175" s="19">
        <v>6950880000</v>
      </c>
      <c r="P175" s="19">
        <v>6728234625</v>
      </c>
      <c r="Q175">
        <v>43443</v>
      </c>
      <c r="R175" s="11">
        <v>45615.15</v>
      </c>
      <c r="S175" s="12">
        <v>2172.1500000000015</v>
      </c>
      <c r="T175" s="3">
        <f t="shared" si="5"/>
        <v>-222645375</v>
      </c>
    </row>
    <row r="176" spans="1:20" x14ac:dyDescent="0.3">
      <c r="A176" s="46">
        <v>45200</v>
      </c>
      <c r="B176" s="4">
        <v>2023</v>
      </c>
      <c r="C176" s="18" t="str">
        <f t="shared" si="4"/>
        <v>Oct</v>
      </c>
      <c r="D176" s="4" t="s">
        <v>11</v>
      </c>
      <c r="E176" s="4" t="s">
        <v>17</v>
      </c>
      <c r="F176" s="4">
        <v>160</v>
      </c>
      <c r="G176" s="4" t="s">
        <v>34</v>
      </c>
      <c r="H176" t="s">
        <v>59</v>
      </c>
      <c r="I176" s="6">
        <v>125000</v>
      </c>
      <c r="J176" s="7">
        <v>0.28000000000000003</v>
      </c>
      <c r="K176" s="20">
        <v>0.18</v>
      </c>
      <c r="L176" s="19">
        <v>160000</v>
      </c>
      <c r="M176" s="6">
        <v>147500</v>
      </c>
      <c r="N176" s="19">
        <v>-12500</v>
      </c>
      <c r="O176" s="19">
        <v>6592640000</v>
      </c>
      <c r="P176" s="19">
        <v>6381469500.000001</v>
      </c>
      <c r="Q176" s="4">
        <v>41204</v>
      </c>
      <c r="R176" s="11">
        <v>43264.200000000004</v>
      </c>
      <c r="S176" s="12">
        <v>2060.2000000000044</v>
      </c>
      <c r="T176" s="3">
        <f t="shared" si="5"/>
        <v>-211170499.99999905</v>
      </c>
    </row>
    <row r="177" spans="1:20" x14ac:dyDescent="0.3">
      <c r="A177" s="45">
        <v>45231</v>
      </c>
      <c r="B177">
        <v>2023</v>
      </c>
      <c r="C177" s="18" t="str">
        <f t="shared" si="4"/>
        <v>Nov</v>
      </c>
      <c r="D177" t="s">
        <v>11</v>
      </c>
      <c r="E177" t="s">
        <v>17</v>
      </c>
      <c r="F177">
        <v>160</v>
      </c>
      <c r="G177" t="s">
        <v>34</v>
      </c>
      <c r="H177" t="s">
        <v>59</v>
      </c>
      <c r="I177" s="3">
        <v>125000</v>
      </c>
      <c r="J177" s="2">
        <v>0.28000000000000003</v>
      </c>
      <c r="K177" s="20">
        <v>0.18</v>
      </c>
      <c r="L177" s="19">
        <v>160000</v>
      </c>
      <c r="M177" s="3">
        <v>147500</v>
      </c>
      <c r="N177" s="19">
        <v>-12500</v>
      </c>
      <c r="O177" s="19">
        <v>7046240000</v>
      </c>
      <c r="P177" s="19">
        <v>6820540125.000001</v>
      </c>
      <c r="Q177">
        <v>44039</v>
      </c>
      <c r="R177" s="11">
        <v>46240.950000000004</v>
      </c>
      <c r="S177" s="12">
        <v>2201.9500000000044</v>
      </c>
      <c r="T177" s="3">
        <f t="shared" si="5"/>
        <v>-225699874.99999905</v>
      </c>
    </row>
    <row r="178" spans="1:20" x14ac:dyDescent="0.3">
      <c r="A178" s="46">
        <v>45261</v>
      </c>
      <c r="B178" s="4">
        <v>2023</v>
      </c>
      <c r="C178" s="18" t="str">
        <f t="shared" si="4"/>
        <v>Dec</v>
      </c>
      <c r="D178" s="4" t="s">
        <v>11</v>
      </c>
      <c r="E178" s="4" t="s">
        <v>17</v>
      </c>
      <c r="F178" s="4">
        <v>160</v>
      </c>
      <c r="G178" s="4" t="s">
        <v>34</v>
      </c>
      <c r="H178" t="s">
        <v>59</v>
      </c>
      <c r="I178" s="6">
        <v>125000</v>
      </c>
      <c r="J178" s="7">
        <v>0.28000000000000003</v>
      </c>
      <c r="K178" s="20">
        <v>0.18</v>
      </c>
      <c r="L178" s="19">
        <v>160000</v>
      </c>
      <c r="M178" s="6">
        <v>147500</v>
      </c>
      <c r="N178" s="19">
        <v>-12500</v>
      </c>
      <c r="O178" s="19">
        <v>9494560000</v>
      </c>
      <c r="P178" s="19">
        <v>9190437375</v>
      </c>
      <c r="Q178" s="4">
        <v>59341</v>
      </c>
      <c r="R178" s="11">
        <v>62308.05</v>
      </c>
      <c r="S178" s="12">
        <v>2967.0500000000029</v>
      </c>
      <c r="T178" s="3">
        <f t="shared" si="5"/>
        <v>-304122625</v>
      </c>
    </row>
    <row r="179" spans="1:20" x14ac:dyDescent="0.3">
      <c r="A179" s="45">
        <v>45292</v>
      </c>
      <c r="B179">
        <v>2024</v>
      </c>
      <c r="C179" s="18" t="str">
        <f t="shared" si="4"/>
        <v>Jan</v>
      </c>
      <c r="D179" t="s">
        <v>11</v>
      </c>
      <c r="E179" t="s">
        <v>17</v>
      </c>
      <c r="F179">
        <v>160</v>
      </c>
      <c r="G179" t="s">
        <v>34</v>
      </c>
      <c r="H179" t="s">
        <v>59</v>
      </c>
      <c r="I179" s="3">
        <v>125000</v>
      </c>
      <c r="J179" s="2">
        <v>0.28000000000000003</v>
      </c>
      <c r="K179" s="20">
        <v>0.18</v>
      </c>
      <c r="L179" s="19">
        <v>160000</v>
      </c>
      <c r="M179" s="3">
        <v>147500</v>
      </c>
      <c r="N179" s="19">
        <v>-12500</v>
      </c>
      <c r="O179" s="19">
        <v>8761600000</v>
      </c>
      <c r="P179" s="19">
        <v>8480955000</v>
      </c>
      <c r="Q179">
        <v>54760</v>
      </c>
      <c r="R179" s="11">
        <v>57498</v>
      </c>
      <c r="S179" s="12">
        <v>2738</v>
      </c>
      <c r="T179" s="3">
        <f t="shared" si="5"/>
        <v>-280645000</v>
      </c>
    </row>
    <row r="180" spans="1:20" x14ac:dyDescent="0.3">
      <c r="A180" s="46">
        <v>45323</v>
      </c>
      <c r="B180" s="4">
        <v>2024</v>
      </c>
      <c r="C180" s="18" t="str">
        <f t="shared" si="4"/>
        <v>Feb</v>
      </c>
      <c r="D180" s="4" t="s">
        <v>11</v>
      </c>
      <c r="E180" s="4" t="s">
        <v>17</v>
      </c>
      <c r="F180" s="4">
        <v>160</v>
      </c>
      <c r="G180" s="4" t="s">
        <v>34</v>
      </c>
      <c r="H180" t="s">
        <v>59</v>
      </c>
      <c r="I180" s="6">
        <v>125000</v>
      </c>
      <c r="J180" s="7">
        <v>0.28000000000000003</v>
      </c>
      <c r="K180" s="20">
        <v>0.18</v>
      </c>
      <c r="L180" s="19">
        <v>160000</v>
      </c>
      <c r="M180" s="6">
        <v>147500</v>
      </c>
      <c r="N180" s="19">
        <v>-12500</v>
      </c>
      <c r="O180" s="19">
        <v>7851200000</v>
      </c>
      <c r="P180" s="19">
        <v>7599716250</v>
      </c>
      <c r="Q180" s="4">
        <v>49070</v>
      </c>
      <c r="R180" s="11">
        <v>51523.5</v>
      </c>
      <c r="S180" s="12">
        <v>2453.5</v>
      </c>
      <c r="T180" s="3">
        <f t="shared" si="5"/>
        <v>-251483750</v>
      </c>
    </row>
    <row r="181" spans="1:20" x14ac:dyDescent="0.3">
      <c r="A181" s="45">
        <v>45352</v>
      </c>
      <c r="B181">
        <v>2024</v>
      </c>
      <c r="C181" s="18" t="str">
        <f t="shared" si="4"/>
        <v>Mar</v>
      </c>
      <c r="D181" t="s">
        <v>11</v>
      </c>
      <c r="E181" t="s">
        <v>17</v>
      </c>
      <c r="F181">
        <v>160</v>
      </c>
      <c r="G181" t="s">
        <v>34</v>
      </c>
      <c r="H181" t="s">
        <v>59</v>
      </c>
      <c r="I181" s="3">
        <v>125000</v>
      </c>
      <c r="J181" s="2">
        <v>0.28000000000000003</v>
      </c>
      <c r="K181" s="20">
        <v>0.18</v>
      </c>
      <c r="L181" s="19">
        <v>160000</v>
      </c>
      <c r="M181" s="3">
        <v>147500</v>
      </c>
      <c r="N181" s="19">
        <v>-12500</v>
      </c>
      <c r="O181" s="19">
        <v>9057120000</v>
      </c>
      <c r="P181" s="19">
        <v>8767009125</v>
      </c>
      <c r="Q181">
        <v>56607</v>
      </c>
      <c r="R181" s="11">
        <v>59437.350000000006</v>
      </c>
      <c r="S181" s="12">
        <v>2830.3500000000058</v>
      </c>
      <c r="T181" s="3">
        <f t="shared" si="5"/>
        <v>-290110875</v>
      </c>
    </row>
    <row r="182" spans="1:20" x14ac:dyDescent="0.3">
      <c r="A182" s="46">
        <v>45383</v>
      </c>
      <c r="B182" s="4">
        <v>2024</v>
      </c>
      <c r="C182" s="18" t="str">
        <f t="shared" si="4"/>
        <v>Apr</v>
      </c>
      <c r="D182" s="4" t="s">
        <v>11</v>
      </c>
      <c r="E182" s="4" t="s">
        <v>17</v>
      </c>
      <c r="F182" s="4">
        <v>160</v>
      </c>
      <c r="G182" s="4" t="s">
        <v>34</v>
      </c>
      <c r="H182" t="s">
        <v>59</v>
      </c>
      <c r="I182" s="6">
        <v>125000</v>
      </c>
      <c r="J182" s="7">
        <v>0.28000000000000003</v>
      </c>
      <c r="K182" s="20">
        <v>0.18</v>
      </c>
      <c r="L182" s="19">
        <v>160000</v>
      </c>
      <c r="M182" s="6">
        <v>147500</v>
      </c>
      <c r="N182" s="19">
        <v>-12500</v>
      </c>
      <c r="O182" s="19">
        <v>9313120000</v>
      </c>
      <c r="P182" s="19">
        <v>9014809125</v>
      </c>
      <c r="Q182" s="4">
        <v>58207</v>
      </c>
      <c r="R182" s="11">
        <v>61117.350000000006</v>
      </c>
      <c r="S182" s="12">
        <v>2910.3500000000058</v>
      </c>
      <c r="T182" s="3">
        <f t="shared" si="5"/>
        <v>-298310875</v>
      </c>
    </row>
    <row r="183" spans="1:20" x14ac:dyDescent="0.3">
      <c r="A183" s="45">
        <v>45413</v>
      </c>
      <c r="B183">
        <v>2024</v>
      </c>
      <c r="C183" s="18" t="str">
        <f t="shared" si="4"/>
        <v>May</v>
      </c>
      <c r="D183" t="s">
        <v>11</v>
      </c>
      <c r="E183" t="s">
        <v>17</v>
      </c>
      <c r="F183">
        <v>160</v>
      </c>
      <c r="G183" t="s">
        <v>34</v>
      </c>
      <c r="H183" t="s">
        <v>59</v>
      </c>
      <c r="I183" s="3">
        <v>125000</v>
      </c>
      <c r="J183" s="2">
        <v>0.28000000000000003</v>
      </c>
      <c r="K183" s="20">
        <v>0.18</v>
      </c>
      <c r="L183" s="19">
        <v>160000</v>
      </c>
      <c r="M183" s="3">
        <v>147500</v>
      </c>
      <c r="N183" s="19">
        <v>-12500</v>
      </c>
      <c r="O183" s="19">
        <v>10025600000</v>
      </c>
      <c r="P183" s="19">
        <v>9704467500</v>
      </c>
      <c r="Q183">
        <v>62660</v>
      </c>
      <c r="R183" s="11">
        <v>65793</v>
      </c>
      <c r="S183" s="12">
        <v>3133</v>
      </c>
      <c r="T183" s="3">
        <f t="shared" si="5"/>
        <v>-321132500</v>
      </c>
    </row>
    <row r="184" spans="1:20" x14ac:dyDescent="0.3">
      <c r="A184" s="46">
        <v>45444</v>
      </c>
      <c r="B184" s="4">
        <v>2024</v>
      </c>
      <c r="C184" s="18" t="str">
        <f t="shared" si="4"/>
        <v>Jun</v>
      </c>
      <c r="D184" s="4" t="s">
        <v>11</v>
      </c>
      <c r="E184" s="4" t="s">
        <v>17</v>
      </c>
      <c r="F184" s="4">
        <v>160</v>
      </c>
      <c r="G184" s="4" t="s">
        <v>34</v>
      </c>
      <c r="H184" t="s">
        <v>59</v>
      </c>
      <c r="I184" s="6">
        <v>125000</v>
      </c>
      <c r="J184" s="7">
        <v>0.28000000000000003</v>
      </c>
      <c r="K184" s="20">
        <v>0.18</v>
      </c>
      <c r="L184" s="19">
        <v>160000</v>
      </c>
      <c r="M184" s="6">
        <v>147500</v>
      </c>
      <c r="N184" s="19">
        <v>-12500</v>
      </c>
      <c r="O184" s="19">
        <v>7571840000</v>
      </c>
      <c r="P184" s="19">
        <v>7329304500.000001</v>
      </c>
      <c r="Q184" s="4">
        <v>47324</v>
      </c>
      <c r="R184" s="11">
        <v>49690.200000000004</v>
      </c>
      <c r="S184" s="12">
        <v>2366.2000000000044</v>
      </c>
      <c r="T184" s="3">
        <f t="shared" si="5"/>
        <v>-242535499.99999905</v>
      </c>
    </row>
    <row r="185" spans="1:20" x14ac:dyDescent="0.3">
      <c r="A185" s="45">
        <v>45474</v>
      </c>
      <c r="B185">
        <v>2024</v>
      </c>
      <c r="C185" s="18" t="str">
        <f t="shared" si="4"/>
        <v>Jul</v>
      </c>
      <c r="D185" t="s">
        <v>11</v>
      </c>
      <c r="E185" t="s">
        <v>17</v>
      </c>
      <c r="F185">
        <v>160</v>
      </c>
      <c r="G185" t="s">
        <v>34</v>
      </c>
      <c r="H185" t="s">
        <v>59</v>
      </c>
      <c r="I185" s="3">
        <v>125000</v>
      </c>
      <c r="J185" s="2">
        <v>0.28000000000000003</v>
      </c>
      <c r="K185" s="20">
        <v>0.18</v>
      </c>
      <c r="L185" s="19">
        <v>160000</v>
      </c>
      <c r="M185" s="3">
        <v>147500</v>
      </c>
      <c r="N185" s="19">
        <v>-12500</v>
      </c>
      <c r="O185" s="19">
        <v>7974080000</v>
      </c>
      <c r="P185" s="19">
        <v>7718660250</v>
      </c>
      <c r="Q185">
        <v>49838</v>
      </c>
      <c r="R185" s="11">
        <v>52329.9</v>
      </c>
      <c r="S185" s="12">
        <v>2491.9000000000015</v>
      </c>
      <c r="T185" s="3">
        <f t="shared" si="5"/>
        <v>-255419750</v>
      </c>
    </row>
    <row r="186" spans="1:20" x14ac:dyDescent="0.3">
      <c r="A186" s="46">
        <v>45505</v>
      </c>
      <c r="B186" s="4">
        <v>2024</v>
      </c>
      <c r="C186" s="18" t="str">
        <f t="shared" si="4"/>
        <v>Aug</v>
      </c>
      <c r="D186" s="4" t="s">
        <v>11</v>
      </c>
      <c r="E186" s="4" t="s">
        <v>17</v>
      </c>
      <c r="F186" s="4">
        <v>160</v>
      </c>
      <c r="G186" s="4" t="s">
        <v>34</v>
      </c>
      <c r="H186" t="s">
        <v>59</v>
      </c>
      <c r="I186" s="6">
        <v>125000</v>
      </c>
      <c r="J186" s="7">
        <v>0.28000000000000003</v>
      </c>
      <c r="K186" s="20">
        <v>0.18</v>
      </c>
      <c r="L186" s="19">
        <v>160000</v>
      </c>
      <c r="M186" s="6">
        <v>147500</v>
      </c>
      <c r="N186" s="19">
        <v>-12500</v>
      </c>
      <c r="O186" s="19">
        <v>6365760000</v>
      </c>
      <c r="P186" s="19">
        <v>6161856750</v>
      </c>
      <c r="Q186" s="4">
        <v>39786</v>
      </c>
      <c r="R186" s="11">
        <v>41775.300000000003</v>
      </c>
      <c r="S186" s="12">
        <v>1989.3000000000029</v>
      </c>
      <c r="T186" s="3">
        <f t="shared" si="5"/>
        <v>-203903250</v>
      </c>
    </row>
    <row r="187" spans="1:20" x14ac:dyDescent="0.3">
      <c r="A187" s="45">
        <v>45536</v>
      </c>
      <c r="B187">
        <v>2024</v>
      </c>
      <c r="C187" s="18" t="str">
        <f t="shared" si="4"/>
        <v>Sep</v>
      </c>
      <c r="D187" t="s">
        <v>11</v>
      </c>
      <c r="E187" t="s">
        <v>17</v>
      </c>
      <c r="F187">
        <v>160</v>
      </c>
      <c r="G187" t="s">
        <v>34</v>
      </c>
      <c r="H187" t="s">
        <v>59</v>
      </c>
      <c r="I187" s="3">
        <v>125000</v>
      </c>
      <c r="J187" s="2">
        <v>0.28000000000000003</v>
      </c>
      <c r="K187" s="20">
        <v>0.18</v>
      </c>
      <c r="L187" s="19">
        <v>160000</v>
      </c>
      <c r="M187" s="3">
        <v>147500</v>
      </c>
      <c r="N187" s="19">
        <v>-12500</v>
      </c>
      <c r="O187" s="19">
        <v>5653760000</v>
      </c>
      <c r="P187" s="19">
        <v>5472663000</v>
      </c>
      <c r="Q187">
        <v>35336</v>
      </c>
      <c r="R187" s="11">
        <v>37102.800000000003</v>
      </c>
      <c r="S187" s="12">
        <v>1766.8000000000029</v>
      </c>
      <c r="T187" s="3">
        <f t="shared" si="5"/>
        <v>-181097000</v>
      </c>
    </row>
    <row r="188" spans="1:20" x14ac:dyDescent="0.3">
      <c r="A188" s="46">
        <v>45566</v>
      </c>
      <c r="B188" s="4">
        <v>2024</v>
      </c>
      <c r="C188" s="18" t="str">
        <f t="shared" si="4"/>
        <v>Oct</v>
      </c>
      <c r="D188" s="4" t="s">
        <v>11</v>
      </c>
      <c r="E188" s="4" t="s">
        <v>17</v>
      </c>
      <c r="F188" s="4">
        <v>160</v>
      </c>
      <c r="G188" s="4" t="s">
        <v>34</v>
      </c>
      <c r="H188" t="s">
        <v>59</v>
      </c>
      <c r="I188" s="6">
        <v>125000</v>
      </c>
      <c r="J188" s="7">
        <v>0.28000000000000003</v>
      </c>
      <c r="K188" s="20">
        <v>0.18</v>
      </c>
      <c r="L188" s="19">
        <v>160000</v>
      </c>
      <c r="M188" s="6">
        <v>147500</v>
      </c>
      <c r="N188" s="19">
        <v>-12500</v>
      </c>
      <c r="O188" s="19">
        <v>7688800000</v>
      </c>
      <c r="P188" s="19">
        <v>7442518125</v>
      </c>
      <c r="Q188" s="4">
        <v>48055</v>
      </c>
      <c r="R188" s="11">
        <v>50457.75</v>
      </c>
      <c r="S188" s="12">
        <v>2402.75</v>
      </c>
      <c r="T188" s="3">
        <f t="shared" si="5"/>
        <v>-246281875</v>
      </c>
    </row>
    <row r="189" spans="1:20" x14ac:dyDescent="0.3">
      <c r="A189" s="45">
        <v>45597</v>
      </c>
      <c r="B189">
        <v>2024</v>
      </c>
      <c r="C189" s="18" t="str">
        <f t="shared" si="4"/>
        <v>Nov</v>
      </c>
      <c r="D189" t="s">
        <v>11</v>
      </c>
      <c r="E189" t="s">
        <v>17</v>
      </c>
      <c r="F189">
        <v>160</v>
      </c>
      <c r="G189" t="s">
        <v>34</v>
      </c>
      <c r="H189" t="s">
        <v>59</v>
      </c>
      <c r="I189" s="3">
        <v>125000</v>
      </c>
      <c r="J189" s="2">
        <v>0.28000000000000003</v>
      </c>
      <c r="K189" s="20">
        <v>0.18</v>
      </c>
      <c r="L189" s="19">
        <v>160000</v>
      </c>
      <c r="M189" s="3">
        <v>147500</v>
      </c>
      <c r="N189" s="19">
        <v>-12500</v>
      </c>
      <c r="O189" s="19">
        <v>8809600000</v>
      </c>
      <c r="P189" s="19">
        <v>8527417500</v>
      </c>
      <c r="Q189">
        <v>55060</v>
      </c>
      <c r="R189" s="11">
        <v>57813</v>
      </c>
      <c r="S189" s="12">
        <v>2753</v>
      </c>
      <c r="T189" s="3">
        <f t="shared" si="5"/>
        <v>-282182500</v>
      </c>
    </row>
    <row r="190" spans="1:20" x14ac:dyDescent="0.3">
      <c r="A190" s="46">
        <v>45627</v>
      </c>
      <c r="B190" s="4">
        <v>2024</v>
      </c>
      <c r="C190" s="18" t="str">
        <f t="shared" si="4"/>
        <v>Dec</v>
      </c>
      <c r="D190" s="4" t="s">
        <v>11</v>
      </c>
      <c r="E190" s="4" t="s">
        <v>17</v>
      </c>
      <c r="F190" s="4">
        <v>160</v>
      </c>
      <c r="G190" s="4" t="s">
        <v>34</v>
      </c>
      <c r="H190" t="s">
        <v>59</v>
      </c>
      <c r="I190" s="6">
        <v>125000</v>
      </c>
      <c r="J190" s="7">
        <v>0.28000000000000003</v>
      </c>
      <c r="K190" s="20">
        <v>0.18</v>
      </c>
      <c r="L190" s="19">
        <v>160000</v>
      </c>
      <c r="M190" s="6">
        <v>147500</v>
      </c>
      <c r="N190" s="19">
        <v>-12500</v>
      </c>
      <c r="O190" s="19">
        <v>7024160000</v>
      </c>
      <c r="P190" s="19">
        <v>6799167375</v>
      </c>
      <c r="Q190" s="4">
        <v>43901</v>
      </c>
      <c r="R190" s="11">
        <v>46096.05</v>
      </c>
      <c r="S190" s="12">
        <v>2195.0500000000029</v>
      </c>
      <c r="T190" s="3">
        <f t="shared" si="5"/>
        <v>-224992625</v>
      </c>
    </row>
    <row r="191" spans="1:20" x14ac:dyDescent="0.3">
      <c r="A191" s="45">
        <v>45658</v>
      </c>
      <c r="B191">
        <v>2025</v>
      </c>
      <c r="C191" s="18" t="str">
        <f t="shared" si="4"/>
        <v>Jan</v>
      </c>
      <c r="D191" t="s">
        <v>11</v>
      </c>
      <c r="E191" t="s">
        <v>17</v>
      </c>
      <c r="F191">
        <v>160</v>
      </c>
      <c r="G191" t="s">
        <v>34</v>
      </c>
      <c r="H191" t="s">
        <v>59</v>
      </c>
      <c r="I191" s="3">
        <v>125000</v>
      </c>
      <c r="J191" s="2">
        <v>0.28000000000000003</v>
      </c>
      <c r="K191" s="20">
        <v>0.18</v>
      </c>
      <c r="L191" s="19">
        <v>160000</v>
      </c>
      <c r="M191" s="3">
        <v>147500</v>
      </c>
      <c r="N191" s="19">
        <v>-12500</v>
      </c>
      <c r="O191" s="19">
        <v>7883200000</v>
      </c>
      <c r="P191" s="19">
        <v>7630691250</v>
      </c>
      <c r="Q191">
        <v>49270</v>
      </c>
      <c r="R191" s="11">
        <v>51733.5</v>
      </c>
      <c r="S191" s="12">
        <v>2463.5</v>
      </c>
      <c r="T191" s="3">
        <f t="shared" si="5"/>
        <v>-252508750</v>
      </c>
    </row>
    <row r="192" spans="1:20" x14ac:dyDescent="0.3">
      <c r="A192" s="46">
        <v>45689</v>
      </c>
      <c r="B192" s="4">
        <v>2025</v>
      </c>
      <c r="C192" s="18" t="str">
        <f t="shared" si="4"/>
        <v>Feb</v>
      </c>
      <c r="D192" s="4" t="s">
        <v>11</v>
      </c>
      <c r="E192" s="4" t="s">
        <v>17</v>
      </c>
      <c r="F192" s="4">
        <v>160</v>
      </c>
      <c r="G192" s="4" t="s">
        <v>34</v>
      </c>
      <c r="H192" t="s">
        <v>59</v>
      </c>
      <c r="I192" s="6">
        <v>125000</v>
      </c>
      <c r="J192" s="7">
        <v>0.28000000000000003</v>
      </c>
      <c r="K192" s="20">
        <v>0.18</v>
      </c>
      <c r="L192" s="19">
        <v>160000</v>
      </c>
      <c r="M192" s="6">
        <v>147500</v>
      </c>
      <c r="N192" s="19">
        <v>-12500</v>
      </c>
      <c r="O192" s="19">
        <v>9973280000</v>
      </c>
      <c r="P192" s="19">
        <v>9653823375</v>
      </c>
      <c r="Q192" s="4">
        <v>62333</v>
      </c>
      <c r="R192" s="11">
        <v>65449.65</v>
      </c>
      <c r="S192" s="12">
        <v>3116.6500000000015</v>
      </c>
      <c r="T192" s="3">
        <f t="shared" si="5"/>
        <v>-319456625</v>
      </c>
    </row>
    <row r="193" spans="1:20" x14ac:dyDescent="0.3">
      <c r="A193" s="45">
        <v>45717</v>
      </c>
      <c r="B193">
        <v>2025</v>
      </c>
      <c r="C193" s="18" t="str">
        <f t="shared" si="4"/>
        <v>Mar</v>
      </c>
      <c r="D193" t="s">
        <v>11</v>
      </c>
      <c r="E193" t="s">
        <v>17</v>
      </c>
      <c r="F193">
        <v>160</v>
      </c>
      <c r="G193" t="s">
        <v>34</v>
      </c>
      <c r="H193" t="s">
        <v>59</v>
      </c>
      <c r="I193" s="3">
        <v>125000</v>
      </c>
      <c r="J193" s="2">
        <v>0.28000000000000003</v>
      </c>
      <c r="K193" s="20">
        <v>0.18</v>
      </c>
      <c r="L193" s="19">
        <v>160000</v>
      </c>
      <c r="M193" s="3">
        <v>147500</v>
      </c>
      <c r="N193" s="19">
        <v>-12500</v>
      </c>
      <c r="O193" s="19">
        <v>9866720000</v>
      </c>
      <c r="P193" s="19">
        <v>9550676625</v>
      </c>
      <c r="Q193">
        <v>61667</v>
      </c>
      <c r="R193" s="11">
        <v>64750.350000000006</v>
      </c>
      <c r="S193" s="12">
        <v>3083.3500000000058</v>
      </c>
      <c r="T193" s="3">
        <f t="shared" si="5"/>
        <v>-316043375</v>
      </c>
    </row>
    <row r="194" spans="1:20" x14ac:dyDescent="0.3">
      <c r="A194" s="46">
        <v>45748</v>
      </c>
      <c r="B194" s="4">
        <v>2025</v>
      </c>
      <c r="C194" s="18" t="str">
        <f t="shared" si="4"/>
        <v>Apr</v>
      </c>
      <c r="D194" s="4" t="s">
        <v>11</v>
      </c>
      <c r="E194" s="4" t="s">
        <v>17</v>
      </c>
      <c r="F194" s="4">
        <v>160</v>
      </c>
      <c r="G194" s="4" t="s">
        <v>34</v>
      </c>
      <c r="H194" t="s">
        <v>59</v>
      </c>
      <c r="I194" s="6">
        <v>125000</v>
      </c>
      <c r="J194" s="7">
        <v>0.28000000000000003</v>
      </c>
      <c r="K194" s="20">
        <v>0.18</v>
      </c>
      <c r="L194" s="19">
        <v>160000</v>
      </c>
      <c r="M194" s="6">
        <v>147500</v>
      </c>
      <c r="N194" s="19">
        <v>-12500</v>
      </c>
      <c r="O194" s="19">
        <v>8808480000</v>
      </c>
      <c r="P194" s="19">
        <v>8526333375</v>
      </c>
      <c r="Q194" s="4">
        <v>55053</v>
      </c>
      <c r="R194" s="11">
        <v>57805.65</v>
      </c>
      <c r="S194" s="12">
        <v>2752.6500000000015</v>
      </c>
      <c r="T194" s="3">
        <f t="shared" si="5"/>
        <v>-282146625</v>
      </c>
    </row>
    <row r="195" spans="1:20" x14ac:dyDescent="0.3">
      <c r="A195" s="45">
        <v>45778</v>
      </c>
      <c r="B195">
        <v>2025</v>
      </c>
      <c r="C195" s="18" t="str">
        <f t="shared" ref="C195:C258" si="6">TEXT(A195,"mmm")</f>
        <v>May</v>
      </c>
      <c r="D195" t="s">
        <v>11</v>
      </c>
      <c r="E195" t="s">
        <v>17</v>
      </c>
      <c r="F195">
        <v>160</v>
      </c>
      <c r="G195" t="s">
        <v>34</v>
      </c>
      <c r="H195" t="s">
        <v>59</v>
      </c>
      <c r="I195" s="3">
        <v>125000</v>
      </c>
      <c r="J195" s="2">
        <v>0.28000000000000003</v>
      </c>
      <c r="K195" s="20">
        <v>0.18</v>
      </c>
      <c r="L195" s="19">
        <v>160000</v>
      </c>
      <c r="M195" s="3">
        <v>147500</v>
      </c>
      <c r="N195" s="19">
        <v>-12500</v>
      </c>
      <c r="O195" s="19">
        <v>8465760000</v>
      </c>
      <c r="P195" s="19">
        <v>8194591125</v>
      </c>
      <c r="Q195">
        <v>52911</v>
      </c>
      <c r="R195" s="11">
        <v>55556.55</v>
      </c>
      <c r="S195" s="12">
        <v>2645.5500000000029</v>
      </c>
      <c r="T195" s="3">
        <f t="shared" ref="T195:T258" si="7">P195-O195</f>
        <v>-271168875</v>
      </c>
    </row>
    <row r="196" spans="1:20" x14ac:dyDescent="0.3">
      <c r="A196" s="46">
        <v>45809</v>
      </c>
      <c r="B196" s="4">
        <v>2025</v>
      </c>
      <c r="C196" s="18" t="str">
        <f t="shared" si="6"/>
        <v>Jun</v>
      </c>
      <c r="D196" s="4" t="s">
        <v>11</v>
      </c>
      <c r="E196" s="4" t="s">
        <v>17</v>
      </c>
      <c r="F196" s="4">
        <v>160</v>
      </c>
      <c r="G196" s="4" t="s">
        <v>34</v>
      </c>
      <c r="H196" t="s">
        <v>59</v>
      </c>
      <c r="I196" s="6">
        <v>125000</v>
      </c>
      <c r="J196" s="7">
        <v>0.28000000000000003</v>
      </c>
      <c r="K196" s="20">
        <v>0.18</v>
      </c>
      <c r="L196" s="19">
        <v>160000</v>
      </c>
      <c r="M196" s="6">
        <v>147500</v>
      </c>
      <c r="N196" s="19">
        <v>-12500</v>
      </c>
      <c r="O196" s="19">
        <v>7940000000</v>
      </c>
      <c r="P196" s="19">
        <v>7685671875</v>
      </c>
      <c r="Q196" s="4">
        <v>49625</v>
      </c>
      <c r="R196" s="11">
        <v>52106.25</v>
      </c>
      <c r="S196" s="12">
        <v>2481.25</v>
      </c>
      <c r="T196" s="3">
        <f t="shared" si="7"/>
        <v>-254328125</v>
      </c>
    </row>
    <row r="197" spans="1:20" x14ac:dyDescent="0.3">
      <c r="A197" s="45">
        <v>45839</v>
      </c>
      <c r="B197">
        <v>2025</v>
      </c>
      <c r="C197" s="18" t="str">
        <f t="shared" si="6"/>
        <v>Jul</v>
      </c>
      <c r="D197" t="s">
        <v>11</v>
      </c>
      <c r="E197" t="s">
        <v>17</v>
      </c>
      <c r="F197">
        <v>160</v>
      </c>
      <c r="G197" t="s">
        <v>34</v>
      </c>
      <c r="H197" t="s">
        <v>59</v>
      </c>
      <c r="I197" s="3">
        <v>125000</v>
      </c>
      <c r="J197" s="2">
        <v>0.28000000000000003</v>
      </c>
      <c r="K197" s="20">
        <v>0.18</v>
      </c>
      <c r="L197" s="19">
        <v>160000</v>
      </c>
      <c r="M197" s="3">
        <v>147500</v>
      </c>
      <c r="N197" s="19">
        <v>-12500</v>
      </c>
      <c r="O197" s="19">
        <v>8117120000</v>
      </c>
      <c r="P197" s="19">
        <v>7857118500.000001</v>
      </c>
      <c r="Q197">
        <v>50732</v>
      </c>
      <c r="R197" s="11">
        <v>53268.600000000006</v>
      </c>
      <c r="S197" s="12">
        <v>2536.6000000000058</v>
      </c>
      <c r="T197" s="3">
        <f t="shared" si="7"/>
        <v>-260001499.99999905</v>
      </c>
    </row>
    <row r="198" spans="1:20" x14ac:dyDescent="0.3">
      <c r="A198" s="46">
        <v>45870</v>
      </c>
      <c r="B198" s="4">
        <v>2025</v>
      </c>
      <c r="C198" s="18" t="str">
        <f t="shared" si="6"/>
        <v>Aug</v>
      </c>
      <c r="D198" s="4" t="s">
        <v>11</v>
      </c>
      <c r="E198" s="4" t="s">
        <v>17</v>
      </c>
      <c r="F198" s="4">
        <v>160</v>
      </c>
      <c r="G198" s="4" t="s">
        <v>34</v>
      </c>
      <c r="H198" t="s">
        <v>59</v>
      </c>
      <c r="I198" s="6">
        <v>125000</v>
      </c>
      <c r="J198" s="7">
        <v>0.28000000000000003</v>
      </c>
      <c r="K198" s="20">
        <v>0.18</v>
      </c>
      <c r="L198" s="19">
        <v>160000</v>
      </c>
      <c r="M198" s="6">
        <v>147500</v>
      </c>
      <c r="N198" s="19">
        <v>-12500</v>
      </c>
      <c r="O198" s="19">
        <v>7131040000</v>
      </c>
      <c r="P198" s="19">
        <v>6902623875.000001</v>
      </c>
      <c r="Q198" s="4">
        <v>44569</v>
      </c>
      <c r="R198" s="11">
        <v>46797.450000000004</v>
      </c>
      <c r="S198" s="12">
        <v>2228.4500000000044</v>
      </c>
      <c r="T198" s="3">
        <f t="shared" si="7"/>
        <v>-228416124.99999905</v>
      </c>
    </row>
    <row r="199" spans="1:20" x14ac:dyDescent="0.3">
      <c r="A199" s="45">
        <v>45901</v>
      </c>
      <c r="B199">
        <v>2025</v>
      </c>
      <c r="C199" s="18" t="str">
        <f t="shared" si="6"/>
        <v>Sep</v>
      </c>
      <c r="D199" t="s">
        <v>11</v>
      </c>
      <c r="E199" t="s">
        <v>17</v>
      </c>
      <c r="F199">
        <v>160</v>
      </c>
      <c r="G199" t="s">
        <v>34</v>
      </c>
      <c r="H199" t="s">
        <v>59</v>
      </c>
      <c r="I199" s="3">
        <v>125000</v>
      </c>
      <c r="J199" s="2">
        <v>0.28000000000000003</v>
      </c>
      <c r="K199" s="20">
        <v>0.18</v>
      </c>
      <c r="L199" s="19">
        <v>160000</v>
      </c>
      <c r="M199" s="3">
        <v>147500</v>
      </c>
      <c r="N199" s="19">
        <v>-12500</v>
      </c>
      <c r="O199" s="19">
        <v>7166240000</v>
      </c>
      <c r="P199" s="19">
        <v>6936696375.000001</v>
      </c>
      <c r="Q199">
        <v>44789</v>
      </c>
      <c r="R199" s="11">
        <v>47028.450000000004</v>
      </c>
      <c r="S199" s="12">
        <v>2239.4500000000044</v>
      </c>
      <c r="T199" s="3">
        <f t="shared" si="7"/>
        <v>-229543624.99999905</v>
      </c>
    </row>
    <row r="200" spans="1:20" x14ac:dyDescent="0.3">
      <c r="A200" s="46">
        <v>44927</v>
      </c>
      <c r="B200" s="4">
        <v>2023</v>
      </c>
      <c r="C200" s="18" t="str">
        <f t="shared" si="6"/>
        <v>Jan</v>
      </c>
      <c r="D200" s="4" t="s">
        <v>11</v>
      </c>
      <c r="E200" s="4" t="s">
        <v>21</v>
      </c>
      <c r="F200" s="4">
        <v>160</v>
      </c>
      <c r="G200" s="4" t="s">
        <v>34</v>
      </c>
      <c r="H200" t="s">
        <v>59</v>
      </c>
      <c r="I200" s="6">
        <v>115000</v>
      </c>
      <c r="J200" s="7">
        <v>0.28000000000000003</v>
      </c>
      <c r="K200" s="20">
        <v>0.18</v>
      </c>
      <c r="L200" s="19">
        <v>147200</v>
      </c>
      <c r="M200" s="6">
        <v>135700</v>
      </c>
      <c r="N200" s="19">
        <v>-11500</v>
      </c>
      <c r="O200" s="19">
        <v>3348800000</v>
      </c>
      <c r="P200" s="19">
        <v>3241533750</v>
      </c>
      <c r="Q200" s="4">
        <v>22750</v>
      </c>
      <c r="R200" s="11">
        <v>23887.5</v>
      </c>
      <c r="S200" s="12">
        <v>1137.5</v>
      </c>
      <c r="T200" s="3">
        <f t="shared" si="7"/>
        <v>-107266250</v>
      </c>
    </row>
    <row r="201" spans="1:20" x14ac:dyDescent="0.3">
      <c r="A201" s="45">
        <v>44958</v>
      </c>
      <c r="B201">
        <v>2023</v>
      </c>
      <c r="C201" s="18" t="str">
        <f t="shared" si="6"/>
        <v>Feb</v>
      </c>
      <c r="D201" t="s">
        <v>11</v>
      </c>
      <c r="E201" t="s">
        <v>21</v>
      </c>
      <c r="F201">
        <v>160</v>
      </c>
      <c r="G201" t="s">
        <v>34</v>
      </c>
      <c r="H201" t="s">
        <v>59</v>
      </c>
      <c r="I201" s="3">
        <v>115000</v>
      </c>
      <c r="J201" s="2">
        <v>0.28000000000000003</v>
      </c>
      <c r="K201" s="20">
        <v>0.18</v>
      </c>
      <c r="L201" s="19">
        <v>147200</v>
      </c>
      <c r="M201" s="3">
        <v>135700</v>
      </c>
      <c r="N201" s="19">
        <v>-11500</v>
      </c>
      <c r="O201" s="19">
        <v>3185113600</v>
      </c>
      <c r="P201" s="19">
        <v>3083090430</v>
      </c>
      <c r="Q201">
        <v>21638</v>
      </c>
      <c r="R201" s="11">
        <v>22719.9</v>
      </c>
      <c r="S201" s="12">
        <v>1081.9000000000015</v>
      </c>
      <c r="T201" s="3">
        <f t="shared" si="7"/>
        <v>-102023170</v>
      </c>
    </row>
    <row r="202" spans="1:20" x14ac:dyDescent="0.3">
      <c r="A202" s="46">
        <v>44986</v>
      </c>
      <c r="B202" s="4">
        <v>2023</v>
      </c>
      <c r="C202" s="18" t="str">
        <f t="shared" si="6"/>
        <v>Mar</v>
      </c>
      <c r="D202" s="4" t="s">
        <v>11</v>
      </c>
      <c r="E202" s="4" t="s">
        <v>21</v>
      </c>
      <c r="F202" s="4">
        <v>160</v>
      </c>
      <c r="G202" s="4" t="s">
        <v>34</v>
      </c>
      <c r="H202" t="s">
        <v>59</v>
      </c>
      <c r="I202" s="6">
        <v>115000</v>
      </c>
      <c r="J202" s="7">
        <v>0.28000000000000003</v>
      </c>
      <c r="K202" s="20">
        <v>0.18</v>
      </c>
      <c r="L202" s="19">
        <v>147200</v>
      </c>
      <c r="M202" s="6">
        <v>135700</v>
      </c>
      <c r="N202" s="19">
        <v>-11500</v>
      </c>
      <c r="O202" s="19">
        <v>3785984000</v>
      </c>
      <c r="P202" s="19">
        <v>3664714200</v>
      </c>
      <c r="Q202" s="4">
        <v>25720</v>
      </c>
      <c r="R202" s="11">
        <v>27006</v>
      </c>
      <c r="S202" s="12">
        <v>1286</v>
      </c>
      <c r="T202" s="3">
        <f t="shared" si="7"/>
        <v>-121269800</v>
      </c>
    </row>
    <row r="203" spans="1:20" x14ac:dyDescent="0.3">
      <c r="A203" s="45">
        <v>45017</v>
      </c>
      <c r="B203">
        <v>2023</v>
      </c>
      <c r="C203" s="18" t="str">
        <f t="shared" si="6"/>
        <v>Apr</v>
      </c>
      <c r="D203" t="s">
        <v>11</v>
      </c>
      <c r="E203" t="s">
        <v>21</v>
      </c>
      <c r="F203">
        <v>160</v>
      </c>
      <c r="G203" t="s">
        <v>34</v>
      </c>
      <c r="H203" t="s">
        <v>59</v>
      </c>
      <c r="I203" s="3">
        <v>115000</v>
      </c>
      <c r="J203" s="2">
        <v>0.28000000000000003</v>
      </c>
      <c r="K203" s="20">
        <v>0.18</v>
      </c>
      <c r="L203" s="19">
        <v>147200</v>
      </c>
      <c r="M203" s="3">
        <v>135700</v>
      </c>
      <c r="N203" s="19">
        <v>-11500</v>
      </c>
      <c r="O203" s="19">
        <v>2950035200</v>
      </c>
      <c r="P203" s="19">
        <v>2855541885</v>
      </c>
      <c r="Q203">
        <v>20041</v>
      </c>
      <c r="R203" s="11">
        <v>21043.05</v>
      </c>
      <c r="S203" s="12">
        <v>1002.0499999999993</v>
      </c>
      <c r="T203" s="3">
        <f t="shared" si="7"/>
        <v>-94493315</v>
      </c>
    </row>
    <row r="204" spans="1:20" x14ac:dyDescent="0.3">
      <c r="A204" s="46">
        <v>45047</v>
      </c>
      <c r="B204" s="4">
        <v>2023</v>
      </c>
      <c r="C204" s="18" t="str">
        <f t="shared" si="6"/>
        <v>May</v>
      </c>
      <c r="D204" s="4" t="s">
        <v>11</v>
      </c>
      <c r="E204" s="4" t="s">
        <v>21</v>
      </c>
      <c r="F204" s="4">
        <v>160</v>
      </c>
      <c r="G204" s="4" t="s">
        <v>34</v>
      </c>
      <c r="H204" t="s">
        <v>59</v>
      </c>
      <c r="I204" s="6">
        <v>115000</v>
      </c>
      <c r="J204" s="7">
        <v>0.28000000000000003</v>
      </c>
      <c r="K204" s="20">
        <v>0.18</v>
      </c>
      <c r="L204" s="19">
        <v>147200</v>
      </c>
      <c r="M204" s="6">
        <v>135700</v>
      </c>
      <c r="N204" s="19">
        <v>-11500</v>
      </c>
      <c r="O204" s="19">
        <v>3214848000</v>
      </c>
      <c r="P204" s="19">
        <v>3111872400</v>
      </c>
      <c r="Q204" s="4">
        <v>21840</v>
      </c>
      <c r="R204" s="11">
        <v>22932</v>
      </c>
      <c r="S204" s="12">
        <v>1092</v>
      </c>
      <c r="T204" s="3">
        <f t="shared" si="7"/>
        <v>-102975600</v>
      </c>
    </row>
    <row r="205" spans="1:20" x14ac:dyDescent="0.3">
      <c r="A205" s="45">
        <v>45078</v>
      </c>
      <c r="B205">
        <v>2023</v>
      </c>
      <c r="C205" s="18" t="str">
        <f t="shared" si="6"/>
        <v>Jun</v>
      </c>
      <c r="D205" t="s">
        <v>11</v>
      </c>
      <c r="E205" t="s">
        <v>21</v>
      </c>
      <c r="F205">
        <v>160</v>
      </c>
      <c r="G205" t="s">
        <v>34</v>
      </c>
      <c r="H205" t="s">
        <v>59</v>
      </c>
      <c r="I205" s="3">
        <v>115000</v>
      </c>
      <c r="J205" s="2">
        <v>0.28000000000000003</v>
      </c>
      <c r="K205" s="20">
        <v>0.18</v>
      </c>
      <c r="L205" s="19">
        <v>147200</v>
      </c>
      <c r="M205" s="3">
        <v>135700</v>
      </c>
      <c r="N205" s="19">
        <v>-11500</v>
      </c>
      <c r="O205" s="19">
        <v>2499014400</v>
      </c>
      <c r="P205" s="19">
        <v>2418967845.0000005</v>
      </c>
      <c r="Q205">
        <v>16977</v>
      </c>
      <c r="R205" s="11">
        <v>17825.850000000002</v>
      </c>
      <c r="S205" s="12">
        <v>848.85000000000218</v>
      </c>
      <c r="T205" s="3">
        <f t="shared" si="7"/>
        <v>-80046554.999999523</v>
      </c>
    </row>
    <row r="206" spans="1:20" x14ac:dyDescent="0.3">
      <c r="A206" s="46">
        <v>45108</v>
      </c>
      <c r="B206" s="4">
        <v>2023</v>
      </c>
      <c r="C206" s="18" t="str">
        <f t="shared" si="6"/>
        <v>Jul</v>
      </c>
      <c r="D206" s="4" t="s">
        <v>11</v>
      </c>
      <c r="E206" s="4" t="s">
        <v>21</v>
      </c>
      <c r="F206" s="4">
        <v>160</v>
      </c>
      <c r="G206" s="4" t="s">
        <v>34</v>
      </c>
      <c r="H206" t="s">
        <v>59</v>
      </c>
      <c r="I206" s="6">
        <v>115000</v>
      </c>
      <c r="J206" s="7">
        <v>0.28000000000000003</v>
      </c>
      <c r="K206" s="20">
        <v>0.18</v>
      </c>
      <c r="L206" s="19">
        <v>147200</v>
      </c>
      <c r="M206" s="6">
        <v>135700</v>
      </c>
      <c r="N206" s="19">
        <v>-11500</v>
      </c>
      <c r="O206" s="19">
        <v>2633555200</v>
      </c>
      <c r="P206" s="19">
        <v>2549199135</v>
      </c>
      <c r="Q206" s="4">
        <v>17891</v>
      </c>
      <c r="R206" s="11">
        <v>18785.55</v>
      </c>
      <c r="S206" s="12">
        <v>894.54999999999927</v>
      </c>
      <c r="T206" s="3">
        <f t="shared" si="7"/>
        <v>-84356065</v>
      </c>
    </row>
    <row r="207" spans="1:20" x14ac:dyDescent="0.3">
      <c r="A207" s="45">
        <v>45139</v>
      </c>
      <c r="B207">
        <v>2023</v>
      </c>
      <c r="C207" s="18" t="str">
        <f t="shared" si="6"/>
        <v>Aug</v>
      </c>
      <c r="D207" t="s">
        <v>11</v>
      </c>
      <c r="E207" t="s">
        <v>21</v>
      </c>
      <c r="F207">
        <v>160</v>
      </c>
      <c r="G207" t="s">
        <v>34</v>
      </c>
      <c r="H207" t="s">
        <v>59</v>
      </c>
      <c r="I207" s="3">
        <v>115000</v>
      </c>
      <c r="J207" s="2">
        <v>0.28000000000000003</v>
      </c>
      <c r="K207" s="20">
        <v>0.18</v>
      </c>
      <c r="L207" s="19">
        <v>147200</v>
      </c>
      <c r="M207" s="3">
        <v>135700</v>
      </c>
      <c r="N207" s="19">
        <v>-11500</v>
      </c>
      <c r="O207" s="19">
        <v>2527571200</v>
      </c>
      <c r="P207" s="19">
        <v>2446609935</v>
      </c>
      <c r="Q207">
        <v>17171</v>
      </c>
      <c r="R207" s="11">
        <v>18029.55</v>
      </c>
      <c r="S207" s="12">
        <v>858.54999999999927</v>
      </c>
      <c r="T207" s="3">
        <f t="shared" si="7"/>
        <v>-80961265</v>
      </c>
    </row>
    <row r="208" spans="1:20" x14ac:dyDescent="0.3">
      <c r="A208" s="46">
        <v>45170</v>
      </c>
      <c r="B208" s="4">
        <v>2023</v>
      </c>
      <c r="C208" s="18" t="str">
        <f t="shared" si="6"/>
        <v>Sep</v>
      </c>
      <c r="D208" s="4" t="s">
        <v>11</v>
      </c>
      <c r="E208" s="4" t="s">
        <v>21</v>
      </c>
      <c r="F208" s="4">
        <v>160</v>
      </c>
      <c r="G208" s="4" t="s">
        <v>34</v>
      </c>
      <c r="H208" t="s">
        <v>59</v>
      </c>
      <c r="I208" s="6">
        <v>115000</v>
      </c>
      <c r="J208" s="7">
        <v>0.28000000000000003</v>
      </c>
      <c r="K208" s="20">
        <v>0.18</v>
      </c>
      <c r="L208" s="19">
        <v>147200</v>
      </c>
      <c r="M208" s="6">
        <v>135700</v>
      </c>
      <c r="N208" s="19">
        <v>-11500</v>
      </c>
      <c r="O208" s="19">
        <v>2467955200</v>
      </c>
      <c r="P208" s="19">
        <v>2388903510</v>
      </c>
      <c r="Q208" s="4">
        <v>16766</v>
      </c>
      <c r="R208" s="11">
        <v>17604.3</v>
      </c>
      <c r="S208" s="12">
        <v>838.29999999999927</v>
      </c>
      <c r="T208" s="3">
        <f t="shared" si="7"/>
        <v>-79051690</v>
      </c>
    </row>
    <row r="209" spans="1:20" x14ac:dyDescent="0.3">
      <c r="A209" s="45">
        <v>45200</v>
      </c>
      <c r="B209">
        <v>2023</v>
      </c>
      <c r="C209" s="18" t="str">
        <f t="shared" si="6"/>
        <v>Oct</v>
      </c>
      <c r="D209" t="s">
        <v>11</v>
      </c>
      <c r="E209" t="s">
        <v>21</v>
      </c>
      <c r="F209">
        <v>160</v>
      </c>
      <c r="G209" t="s">
        <v>34</v>
      </c>
      <c r="H209" t="s">
        <v>59</v>
      </c>
      <c r="I209" s="3">
        <v>115000</v>
      </c>
      <c r="J209" s="2">
        <v>0.28000000000000003</v>
      </c>
      <c r="K209" s="20">
        <v>0.18</v>
      </c>
      <c r="L209" s="19">
        <v>147200</v>
      </c>
      <c r="M209" s="3">
        <v>135700</v>
      </c>
      <c r="N209" s="19">
        <v>-11500</v>
      </c>
      <c r="O209" s="19">
        <v>2218156800</v>
      </c>
      <c r="P209" s="19">
        <v>2147106465</v>
      </c>
      <c r="Q209">
        <v>15069</v>
      </c>
      <c r="R209" s="11">
        <v>15822.45</v>
      </c>
      <c r="S209" s="12">
        <v>753.45000000000073</v>
      </c>
      <c r="T209" s="3">
        <f t="shared" si="7"/>
        <v>-71050335</v>
      </c>
    </row>
    <row r="210" spans="1:20" x14ac:dyDescent="0.3">
      <c r="A210" s="46">
        <v>45231</v>
      </c>
      <c r="B210" s="4">
        <v>2023</v>
      </c>
      <c r="C210" s="18" t="str">
        <f t="shared" si="6"/>
        <v>Nov</v>
      </c>
      <c r="D210" s="4" t="s">
        <v>11</v>
      </c>
      <c r="E210" s="4" t="s">
        <v>21</v>
      </c>
      <c r="F210" s="4">
        <v>160</v>
      </c>
      <c r="G210" s="4" t="s">
        <v>34</v>
      </c>
      <c r="H210" t="s">
        <v>59</v>
      </c>
      <c r="I210" s="6">
        <v>115000</v>
      </c>
      <c r="J210" s="7">
        <v>0.28000000000000003</v>
      </c>
      <c r="K210" s="20">
        <v>0.18</v>
      </c>
      <c r="L210" s="19">
        <v>147200</v>
      </c>
      <c r="M210" s="6">
        <v>135700</v>
      </c>
      <c r="N210" s="19">
        <v>-11500</v>
      </c>
      <c r="O210" s="19">
        <v>2772659200</v>
      </c>
      <c r="P210" s="19">
        <v>2683847460</v>
      </c>
      <c r="Q210" s="4">
        <v>18836</v>
      </c>
      <c r="R210" s="11">
        <v>19777.8</v>
      </c>
      <c r="S210" s="12">
        <v>941.79999999999927</v>
      </c>
      <c r="T210" s="3">
        <f t="shared" si="7"/>
        <v>-88811740</v>
      </c>
    </row>
    <row r="211" spans="1:20" x14ac:dyDescent="0.3">
      <c r="A211" s="45">
        <v>45261</v>
      </c>
      <c r="B211">
        <v>2023</v>
      </c>
      <c r="C211" s="18" t="str">
        <f t="shared" si="6"/>
        <v>Dec</v>
      </c>
      <c r="D211" t="s">
        <v>11</v>
      </c>
      <c r="E211" t="s">
        <v>21</v>
      </c>
      <c r="F211">
        <v>160</v>
      </c>
      <c r="G211" t="s">
        <v>34</v>
      </c>
      <c r="H211" t="s">
        <v>59</v>
      </c>
      <c r="I211" s="3">
        <v>115000</v>
      </c>
      <c r="J211" s="2">
        <v>0.28000000000000003</v>
      </c>
      <c r="K211" s="20">
        <v>0.18</v>
      </c>
      <c r="L211" s="19">
        <v>147200</v>
      </c>
      <c r="M211" s="3">
        <v>135700</v>
      </c>
      <c r="N211" s="19">
        <v>-11500</v>
      </c>
      <c r="O211" s="19">
        <v>2886297600</v>
      </c>
      <c r="P211" s="19">
        <v>2793845880</v>
      </c>
      <c r="Q211">
        <v>19608</v>
      </c>
      <c r="R211" s="11">
        <v>20588.400000000001</v>
      </c>
      <c r="S211" s="12">
        <v>980.40000000000146</v>
      </c>
      <c r="T211" s="3">
        <f t="shared" si="7"/>
        <v>-92451720</v>
      </c>
    </row>
    <row r="212" spans="1:20" x14ac:dyDescent="0.3">
      <c r="A212" s="46">
        <v>45292</v>
      </c>
      <c r="B212" s="4">
        <v>2024</v>
      </c>
      <c r="C212" s="18" t="str">
        <f t="shared" si="6"/>
        <v>Jan</v>
      </c>
      <c r="D212" s="4" t="s">
        <v>11</v>
      </c>
      <c r="E212" s="4" t="s">
        <v>21</v>
      </c>
      <c r="F212" s="4">
        <v>160</v>
      </c>
      <c r="G212" s="4" t="s">
        <v>34</v>
      </c>
      <c r="H212" t="s">
        <v>59</v>
      </c>
      <c r="I212" s="6">
        <v>115000</v>
      </c>
      <c r="J212" s="7">
        <v>0.28000000000000003</v>
      </c>
      <c r="K212" s="20">
        <v>0.18</v>
      </c>
      <c r="L212" s="19">
        <v>147200</v>
      </c>
      <c r="M212" s="6">
        <v>135700</v>
      </c>
      <c r="N212" s="19">
        <v>-11500</v>
      </c>
      <c r="O212" s="19">
        <v>3241638400</v>
      </c>
      <c r="P212" s="19">
        <v>3137804670.0000005</v>
      </c>
      <c r="Q212" s="4">
        <v>22022</v>
      </c>
      <c r="R212" s="11">
        <v>23123.100000000002</v>
      </c>
      <c r="S212" s="12">
        <v>1101.1000000000022</v>
      </c>
      <c r="T212" s="3">
        <f t="shared" si="7"/>
        <v>-103833729.99999952</v>
      </c>
    </row>
    <row r="213" spans="1:20" x14ac:dyDescent="0.3">
      <c r="A213" s="45">
        <v>45323</v>
      </c>
      <c r="B213">
        <v>2024</v>
      </c>
      <c r="C213" s="18" t="str">
        <f t="shared" si="6"/>
        <v>Feb</v>
      </c>
      <c r="D213" t="s">
        <v>11</v>
      </c>
      <c r="E213" t="s">
        <v>21</v>
      </c>
      <c r="F213">
        <v>160</v>
      </c>
      <c r="G213" t="s">
        <v>34</v>
      </c>
      <c r="H213" t="s">
        <v>59</v>
      </c>
      <c r="I213" s="3">
        <v>115000</v>
      </c>
      <c r="J213" s="2">
        <v>0.28000000000000003</v>
      </c>
      <c r="K213" s="20">
        <v>0.18</v>
      </c>
      <c r="L213" s="19">
        <v>147200</v>
      </c>
      <c r="M213" s="3">
        <v>135700</v>
      </c>
      <c r="N213" s="19">
        <v>-11500</v>
      </c>
      <c r="O213" s="19">
        <v>3855756800</v>
      </c>
      <c r="P213" s="19">
        <v>3732252090</v>
      </c>
      <c r="Q213">
        <v>26194</v>
      </c>
      <c r="R213" s="11">
        <v>27503.7</v>
      </c>
      <c r="S213" s="12">
        <v>1309.7000000000007</v>
      </c>
      <c r="T213" s="3">
        <f t="shared" si="7"/>
        <v>-123504710</v>
      </c>
    </row>
    <row r="214" spans="1:20" x14ac:dyDescent="0.3">
      <c r="A214" s="46">
        <v>45352</v>
      </c>
      <c r="B214" s="4">
        <v>2024</v>
      </c>
      <c r="C214" s="18" t="str">
        <f t="shared" si="6"/>
        <v>Mar</v>
      </c>
      <c r="D214" s="4" t="s">
        <v>11</v>
      </c>
      <c r="E214" s="4" t="s">
        <v>21</v>
      </c>
      <c r="F214" s="4">
        <v>160</v>
      </c>
      <c r="G214" s="4" t="s">
        <v>34</v>
      </c>
      <c r="H214" t="s">
        <v>59</v>
      </c>
      <c r="I214" s="6">
        <v>115000</v>
      </c>
      <c r="J214" s="7">
        <v>0.28000000000000003</v>
      </c>
      <c r="K214" s="20">
        <v>0.18</v>
      </c>
      <c r="L214" s="19">
        <v>147200</v>
      </c>
      <c r="M214" s="6">
        <v>135700</v>
      </c>
      <c r="N214" s="19">
        <v>-11500</v>
      </c>
      <c r="O214" s="19">
        <v>3534860800</v>
      </c>
      <c r="P214" s="19">
        <v>3421634790</v>
      </c>
      <c r="Q214" s="4">
        <v>24014</v>
      </c>
      <c r="R214" s="11">
        <v>25214.7</v>
      </c>
      <c r="S214" s="12">
        <v>1200.7000000000007</v>
      </c>
      <c r="T214" s="3">
        <f t="shared" si="7"/>
        <v>-113226010</v>
      </c>
    </row>
    <row r="215" spans="1:20" x14ac:dyDescent="0.3">
      <c r="A215" s="45">
        <v>45383</v>
      </c>
      <c r="B215">
        <v>2024</v>
      </c>
      <c r="C215" s="18" t="str">
        <f t="shared" si="6"/>
        <v>Apr</v>
      </c>
      <c r="D215" t="s">
        <v>11</v>
      </c>
      <c r="E215" t="s">
        <v>21</v>
      </c>
      <c r="F215">
        <v>160</v>
      </c>
      <c r="G215" t="s">
        <v>34</v>
      </c>
      <c r="H215" t="s">
        <v>59</v>
      </c>
      <c r="I215" s="3">
        <v>115000</v>
      </c>
      <c r="J215" s="2">
        <v>0.28000000000000003</v>
      </c>
      <c r="K215" s="20">
        <v>0.18</v>
      </c>
      <c r="L215" s="19">
        <v>147200</v>
      </c>
      <c r="M215" s="3">
        <v>135700</v>
      </c>
      <c r="N215" s="19">
        <v>-11500</v>
      </c>
      <c r="O215" s="19">
        <v>3507628800</v>
      </c>
      <c r="P215" s="19">
        <v>3395275065</v>
      </c>
      <c r="Q215">
        <v>23829</v>
      </c>
      <c r="R215" s="11">
        <v>25020.45</v>
      </c>
      <c r="S215" s="12">
        <v>1191.4500000000007</v>
      </c>
      <c r="T215" s="3">
        <f t="shared" si="7"/>
        <v>-112353735</v>
      </c>
    </row>
    <row r="216" spans="1:20" x14ac:dyDescent="0.3">
      <c r="A216" s="46">
        <v>45413</v>
      </c>
      <c r="B216" s="4">
        <v>2024</v>
      </c>
      <c r="C216" s="18" t="str">
        <f t="shared" si="6"/>
        <v>May</v>
      </c>
      <c r="D216" s="4" t="s">
        <v>11</v>
      </c>
      <c r="E216" s="4" t="s">
        <v>21</v>
      </c>
      <c r="F216" s="4">
        <v>160</v>
      </c>
      <c r="G216" s="4" t="s">
        <v>34</v>
      </c>
      <c r="H216" t="s">
        <v>59</v>
      </c>
      <c r="I216" s="6">
        <v>115000</v>
      </c>
      <c r="J216" s="7">
        <v>0.28000000000000003</v>
      </c>
      <c r="K216" s="20">
        <v>0.18</v>
      </c>
      <c r="L216" s="19">
        <v>147200</v>
      </c>
      <c r="M216" s="6">
        <v>135700</v>
      </c>
      <c r="N216" s="19">
        <v>-11500</v>
      </c>
      <c r="O216" s="19">
        <v>2935904000</v>
      </c>
      <c r="P216" s="19">
        <v>2841863325</v>
      </c>
      <c r="Q216" s="4">
        <v>19945</v>
      </c>
      <c r="R216" s="11">
        <v>20942.25</v>
      </c>
      <c r="S216" s="12">
        <v>997.25</v>
      </c>
      <c r="T216" s="3">
        <f t="shared" si="7"/>
        <v>-94040675</v>
      </c>
    </row>
    <row r="217" spans="1:20" x14ac:dyDescent="0.3">
      <c r="A217" s="45">
        <v>45444</v>
      </c>
      <c r="B217">
        <v>2024</v>
      </c>
      <c r="C217" s="18" t="str">
        <f t="shared" si="6"/>
        <v>Jun</v>
      </c>
      <c r="D217" t="s">
        <v>11</v>
      </c>
      <c r="E217" t="s">
        <v>21</v>
      </c>
      <c r="F217">
        <v>160</v>
      </c>
      <c r="G217" t="s">
        <v>34</v>
      </c>
      <c r="H217" t="s">
        <v>59</v>
      </c>
      <c r="I217" s="3">
        <v>115000</v>
      </c>
      <c r="J217" s="2">
        <v>0.28000000000000003</v>
      </c>
      <c r="K217" s="20">
        <v>0.18</v>
      </c>
      <c r="L217" s="19">
        <v>147200</v>
      </c>
      <c r="M217" s="3">
        <v>135700</v>
      </c>
      <c r="N217" s="19">
        <v>-11500</v>
      </c>
      <c r="O217" s="19">
        <v>2363884800</v>
      </c>
      <c r="P217" s="19">
        <v>2288166615</v>
      </c>
      <c r="Q217">
        <v>16059</v>
      </c>
      <c r="R217" s="11">
        <v>16861.95</v>
      </c>
      <c r="S217" s="12">
        <v>802.95000000000073</v>
      </c>
      <c r="T217" s="3">
        <f t="shared" si="7"/>
        <v>-75718185</v>
      </c>
    </row>
    <row r="218" spans="1:20" x14ac:dyDescent="0.3">
      <c r="A218" s="46">
        <v>45474</v>
      </c>
      <c r="B218" s="4">
        <v>2024</v>
      </c>
      <c r="C218" s="18" t="str">
        <f t="shared" si="6"/>
        <v>Jul</v>
      </c>
      <c r="D218" s="4" t="s">
        <v>11</v>
      </c>
      <c r="E218" s="4" t="s">
        <v>21</v>
      </c>
      <c r="F218" s="4">
        <v>160</v>
      </c>
      <c r="G218" s="4" t="s">
        <v>34</v>
      </c>
      <c r="H218" t="s">
        <v>59</v>
      </c>
      <c r="I218" s="6">
        <v>115000</v>
      </c>
      <c r="J218" s="7">
        <v>0.28000000000000003</v>
      </c>
      <c r="K218" s="20">
        <v>0.18</v>
      </c>
      <c r="L218" s="19">
        <v>147200</v>
      </c>
      <c r="M218" s="6">
        <v>135700</v>
      </c>
      <c r="N218" s="19">
        <v>-11500</v>
      </c>
      <c r="O218" s="19">
        <v>2493273600</v>
      </c>
      <c r="P218" s="19">
        <v>2413410930</v>
      </c>
      <c r="Q218" s="4">
        <v>16938</v>
      </c>
      <c r="R218" s="11">
        <v>17784.900000000001</v>
      </c>
      <c r="S218" s="12">
        <v>846.90000000000146</v>
      </c>
      <c r="T218" s="3">
        <f t="shared" si="7"/>
        <v>-79862670</v>
      </c>
    </row>
    <row r="219" spans="1:20" x14ac:dyDescent="0.3">
      <c r="A219" s="45">
        <v>45505</v>
      </c>
      <c r="B219">
        <v>2024</v>
      </c>
      <c r="C219" s="18" t="str">
        <f t="shared" si="6"/>
        <v>Aug</v>
      </c>
      <c r="D219" t="s">
        <v>11</v>
      </c>
      <c r="E219" t="s">
        <v>21</v>
      </c>
      <c r="F219">
        <v>160</v>
      </c>
      <c r="G219" t="s">
        <v>34</v>
      </c>
      <c r="H219" t="s">
        <v>59</v>
      </c>
      <c r="I219" s="3">
        <v>115000</v>
      </c>
      <c r="J219" s="2">
        <v>0.28000000000000003</v>
      </c>
      <c r="K219" s="20">
        <v>0.18</v>
      </c>
      <c r="L219" s="19">
        <v>147200</v>
      </c>
      <c r="M219" s="3">
        <v>135700</v>
      </c>
      <c r="N219" s="19">
        <v>-11500</v>
      </c>
      <c r="O219" s="19">
        <v>2632819200</v>
      </c>
      <c r="P219" s="19">
        <v>2548486710</v>
      </c>
      <c r="Q219">
        <v>17886</v>
      </c>
      <c r="R219" s="11">
        <v>18780.3</v>
      </c>
      <c r="S219" s="12">
        <v>894.29999999999927</v>
      </c>
      <c r="T219" s="3">
        <f t="shared" si="7"/>
        <v>-84332490</v>
      </c>
    </row>
    <row r="220" spans="1:20" x14ac:dyDescent="0.3">
      <c r="A220" s="46">
        <v>45536</v>
      </c>
      <c r="B220" s="4">
        <v>2024</v>
      </c>
      <c r="C220" s="18" t="str">
        <f t="shared" si="6"/>
        <v>Sep</v>
      </c>
      <c r="D220" s="4" t="s">
        <v>11</v>
      </c>
      <c r="E220" s="4" t="s">
        <v>21</v>
      </c>
      <c r="F220" s="4">
        <v>160</v>
      </c>
      <c r="G220" s="4" t="s">
        <v>34</v>
      </c>
      <c r="H220" t="s">
        <v>59</v>
      </c>
      <c r="I220" s="6">
        <v>115000</v>
      </c>
      <c r="J220" s="7">
        <v>0.28000000000000003</v>
      </c>
      <c r="K220" s="20">
        <v>0.18</v>
      </c>
      <c r="L220" s="19">
        <v>147200</v>
      </c>
      <c r="M220" s="6">
        <v>135700</v>
      </c>
      <c r="N220" s="19">
        <v>-11500</v>
      </c>
      <c r="O220" s="19">
        <v>2614860800</v>
      </c>
      <c r="P220" s="19">
        <v>2531103540</v>
      </c>
      <c r="Q220" s="4">
        <v>17764</v>
      </c>
      <c r="R220" s="11">
        <v>18652.2</v>
      </c>
      <c r="S220" s="12">
        <v>888.20000000000073</v>
      </c>
      <c r="T220" s="3">
        <f t="shared" si="7"/>
        <v>-83757260</v>
      </c>
    </row>
    <row r="221" spans="1:20" x14ac:dyDescent="0.3">
      <c r="A221" s="45">
        <v>45566</v>
      </c>
      <c r="B221">
        <v>2024</v>
      </c>
      <c r="C221" s="18" t="str">
        <f t="shared" si="6"/>
        <v>Oct</v>
      </c>
      <c r="D221" t="s">
        <v>11</v>
      </c>
      <c r="E221" t="s">
        <v>21</v>
      </c>
      <c r="F221">
        <v>160</v>
      </c>
      <c r="G221" t="s">
        <v>34</v>
      </c>
      <c r="H221" t="s">
        <v>59</v>
      </c>
      <c r="I221" s="3">
        <v>115000</v>
      </c>
      <c r="J221" s="2">
        <v>0.28000000000000003</v>
      </c>
      <c r="K221" s="20">
        <v>0.18</v>
      </c>
      <c r="L221" s="19">
        <v>147200</v>
      </c>
      <c r="M221" s="3">
        <v>135700</v>
      </c>
      <c r="N221" s="19">
        <v>-11500</v>
      </c>
      <c r="O221" s="19">
        <v>2854944000</v>
      </c>
      <c r="P221" s="19">
        <v>2763496575</v>
      </c>
      <c r="Q221">
        <v>19395</v>
      </c>
      <c r="R221" s="11">
        <v>20364.75</v>
      </c>
      <c r="S221" s="12">
        <v>969.75</v>
      </c>
      <c r="T221" s="3">
        <f t="shared" si="7"/>
        <v>-91447425</v>
      </c>
    </row>
    <row r="222" spans="1:20" x14ac:dyDescent="0.3">
      <c r="A222" s="46">
        <v>45597</v>
      </c>
      <c r="B222" s="4">
        <v>2024</v>
      </c>
      <c r="C222" s="18" t="str">
        <f t="shared" si="6"/>
        <v>Nov</v>
      </c>
      <c r="D222" s="4" t="s">
        <v>11</v>
      </c>
      <c r="E222" s="4" t="s">
        <v>21</v>
      </c>
      <c r="F222" s="4">
        <v>160</v>
      </c>
      <c r="G222" s="4" t="s">
        <v>34</v>
      </c>
      <c r="H222" t="s">
        <v>59</v>
      </c>
      <c r="I222" s="6">
        <v>115000</v>
      </c>
      <c r="J222" s="7">
        <v>0.28000000000000003</v>
      </c>
      <c r="K222" s="20">
        <v>0.18</v>
      </c>
      <c r="L222" s="19">
        <v>147200</v>
      </c>
      <c r="M222" s="6">
        <v>135700</v>
      </c>
      <c r="N222" s="19">
        <v>-11500</v>
      </c>
      <c r="O222" s="19">
        <v>2407308800</v>
      </c>
      <c r="P222" s="19">
        <v>2330199690</v>
      </c>
      <c r="Q222" s="4">
        <v>16354</v>
      </c>
      <c r="R222" s="11">
        <v>17171.7</v>
      </c>
      <c r="S222" s="12">
        <v>817.70000000000073</v>
      </c>
      <c r="T222" s="3">
        <f t="shared" si="7"/>
        <v>-77109110</v>
      </c>
    </row>
    <row r="223" spans="1:20" x14ac:dyDescent="0.3">
      <c r="A223" s="45">
        <v>45627</v>
      </c>
      <c r="B223">
        <v>2024</v>
      </c>
      <c r="C223" s="18" t="str">
        <f t="shared" si="6"/>
        <v>Dec</v>
      </c>
      <c r="D223" t="s">
        <v>11</v>
      </c>
      <c r="E223" t="s">
        <v>21</v>
      </c>
      <c r="F223">
        <v>160</v>
      </c>
      <c r="G223" t="s">
        <v>34</v>
      </c>
      <c r="H223" t="s">
        <v>59</v>
      </c>
      <c r="I223" s="3">
        <v>115000</v>
      </c>
      <c r="J223" s="2">
        <v>0.28000000000000003</v>
      </c>
      <c r="K223" s="20">
        <v>0.18</v>
      </c>
      <c r="L223" s="19">
        <v>147200</v>
      </c>
      <c r="M223" s="3">
        <v>135700</v>
      </c>
      <c r="N223" s="19">
        <v>-11500</v>
      </c>
      <c r="O223" s="19">
        <v>3069414400</v>
      </c>
      <c r="P223" s="19">
        <v>2971097220.0000005</v>
      </c>
      <c r="Q223">
        <v>20852</v>
      </c>
      <c r="R223" s="11">
        <v>21894.600000000002</v>
      </c>
      <c r="S223" s="12">
        <v>1042.6000000000022</v>
      </c>
      <c r="T223" s="3">
        <f t="shared" si="7"/>
        <v>-98317179.999999523</v>
      </c>
    </row>
    <row r="224" spans="1:20" x14ac:dyDescent="0.3">
      <c r="A224" s="46">
        <v>45658</v>
      </c>
      <c r="B224" s="4">
        <v>2025</v>
      </c>
      <c r="C224" s="18" t="str">
        <f t="shared" si="6"/>
        <v>Jan</v>
      </c>
      <c r="D224" s="4" t="s">
        <v>11</v>
      </c>
      <c r="E224" s="4" t="s">
        <v>21</v>
      </c>
      <c r="F224" s="4">
        <v>160</v>
      </c>
      <c r="G224" s="4" t="s">
        <v>34</v>
      </c>
      <c r="H224" t="s">
        <v>59</v>
      </c>
      <c r="I224" s="6">
        <v>115000</v>
      </c>
      <c r="J224" s="7">
        <v>0.28000000000000003</v>
      </c>
      <c r="K224" s="20">
        <v>0.18</v>
      </c>
      <c r="L224" s="19">
        <v>147200</v>
      </c>
      <c r="M224" s="6">
        <v>135700</v>
      </c>
      <c r="N224" s="19">
        <v>-11500</v>
      </c>
      <c r="O224" s="19">
        <v>3608166400</v>
      </c>
      <c r="P224" s="19">
        <v>3492592320.0000005</v>
      </c>
      <c r="Q224" s="4">
        <v>24512</v>
      </c>
      <c r="R224" s="11">
        <v>25737.600000000002</v>
      </c>
      <c r="S224" s="12">
        <v>1225.6000000000022</v>
      </c>
      <c r="T224" s="3">
        <f t="shared" si="7"/>
        <v>-115574079.99999952</v>
      </c>
    </row>
    <row r="225" spans="1:20" x14ac:dyDescent="0.3">
      <c r="A225" s="45">
        <v>45689</v>
      </c>
      <c r="B225">
        <v>2025</v>
      </c>
      <c r="C225" s="18" t="str">
        <f t="shared" si="6"/>
        <v>Feb</v>
      </c>
      <c r="D225" t="s">
        <v>11</v>
      </c>
      <c r="E225" t="s">
        <v>21</v>
      </c>
      <c r="F225">
        <v>160</v>
      </c>
      <c r="G225" t="s">
        <v>34</v>
      </c>
      <c r="H225" t="s">
        <v>59</v>
      </c>
      <c r="I225" s="3">
        <v>115000</v>
      </c>
      <c r="J225" s="2">
        <v>0.28000000000000003</v>
      </c>
      <c r="K225" s="20">
        <v>0.18</v>
      </c>
      <c r="L225" s="19">
        <v>147200</v>
      </c>
      <c r="M225" s="3">
        <v>135700</v>
      </c>
      <c r="N225" s="19">
        <v>-11500</v>
      </c>
      <c r="O225" s="19">
        <v>2760000000</v>
      </c>
      <c r="P225" s="19">
        <v>2671593750</v>
      </c>
      <c r="Q225">
        <v>18750</v>
      </c>
      <c r="R225" s="11">
        <v>19687.5</v>
      </c>
      <c r="S225" s="12">
        <v>937.5</v>
      </c>
      <c r="T225" s="3">
        <f t="shared" si="7"/>
        <v>-88406250</v>
      </c>
    </row>
    <row r="226" spans="1:20" x14ac:dyDescent="0.3">
      <c r="A226" s="46">
        <v>45717</v>
      </c>
      <c r="B226" s="4">
        <v>2025</v>
      </c>
      <c r="C226" s="18" t="str">
        <f t="shared" si="6"/>
        <v>Mar</v>
      </c>
      <c r="D226" s="4" t="s">
        <v>11</v>
      </c>
      <c r="E226" s="4" t="s">
        <v>21</v>
      </c>
      <c r="F226" s="4">
        <v>160</v>
      </c>
      <c r="G226" s="4" t="s">
        <v>34</v>
      </c>
      <c r="H226" t="s">
        <v>59</v>
      </c>
      <c r="I226" s="6">
        <v>115000</v>
      </c>
      <c r="J226" s="7">
        <v>0.28000000000000003</v>
      </c>
      <c r="K226" s="20">
        <v>0.18</v>
      </c>
      <c r="L226" s="19">
        <v>147200</v>
      </c>
      <c r="M226" s="6">
        <v>135700</v>
      </c>
      <c r="N226" s="19">
        <v>-11500</v>
      </c>
      <c r="O226" s="19">
        <v>2615302400</v>
      </c>
      <c r="P226" s="19">
        <v>2531530995.0000005</v>
      </c>
      <c r="Q226" s="4">
        <v>17767</v>
      </c>
      <c r="R226" s="11">
        <v>18655.350000000002</v>
      </c>
      <c r="S226" s="12">
        <v>888.35000000000218</v>
      </c>
      <c r="T226" s="3">
        <f t="shared" si="7"/>
        <v>-83771404.999999523</v>
      </c>
    </row>
    <row r="227" spans="1:20" x14ac:dyDescent="0.3">
      <c r="A227" s="45">
        <v>45748</v>
      </c>
      <c r="B227">
        <v>2025</v>
      </c>
      <c r="C227" s="18" t="str">
        <f t="shared" si="6"/>
        <v>Apr</v>
      </c>
      <c r="D227" t="s">
        <v>11</v>
      </c>
      <c r="E227" t="s">
        <v>21</v>
      </c>
      <c r="F227">
        <v>160</v>
      </c>
      <c r="G227" t="s">
        <v>34</v>
      </c>
      <c r="H227" t="s">
        <v>59</v>
      </c>
      <c r="I227" s="3">
        <v>115000</v>
      </c>
      <c r="J227" s="2">
        <v>0.28000000000000003</v>
      </c>
      <c r="K227" s="20">
        <v>0.18</v>
      </c>
      <c r="L227" s="19">
        <v>147200</v>
      </c>
      <c r="M227" s="3">
        <v>135700</v>
      </c>
      <c r="N227" s="19">
        <v>-11500</v>
      </c>
      <c r="O227" s="19">
        <v>3655270400</v>
      </c>
      <c r="P227" s="19">
        <v>3538187520.0000005</v>
      </c>
      <c r="Q227">
        <v>24832</v>
      </c>
      <c r="R227" s="11">
        <v>26073.600000000002</v>
      </c>
      <c r="S227" s="12">
        <v>1241.6000000000022</v>
      </c>
      <c r="T227" s="3">
        <f t="shared" si="7"/>
        <v>-117082879.99999952</v>
      </c>
    </row>
    <row r="228" spans="1:20" x14ac:dyDescent="0.3">
      <c r="A228" s="46">
        <v>45778</v>
      </c>
      <c r="B228" s="4">
        <v>2025</v>
      </c>
      <c r="C228" s="18" t="str">
        <f t="shared" si="6"/>
        <v>May</v>
      </c>
      <c r="D228" s="4" t="s">
        <v>11</v>
      </c>
      <c r="E228" s="4" t="s">
        <v>21</v>
      </c>
      <c r="F228" s="4">
        <v>160</v>
      </c>
      <c r="G228" s="4" t="s">
        <v>34</v>
      </c>
      <c r="H228" t="s">
        <v>59</v>
      </c>
      <c r="I228" s="6">
        <v>115000</v>
      </c>
      <c r="J228" s="7">
        <v>0.28000000000000003</v>
      </c>
      <c r="K228" s="20">
        <v>0.18</v>
      </c>
      <c r="L228" s="19">
        <v>147200</v>
      </c>
      <c r="M228" s="6">
        <v>135700</v>
      </c>
      <c r="N228" s="19">
        <v>-11500</v>
      </c>
      <c r="O228" s="19">
        <v>3296691200</v>
      </c>
      <c r="P228" s="19">
        <v>3191094060</v>
      </c>
      <c r="Q228" s="4">
        <v>22396</v>
      </c>
      <c r="R228" s="11">
        <v>23515.8</v>
      </c>
      <c r="S228" s="12">
        <v>1119.7999999999993</v>
      </c>
      <c r="T228" s="3">
        <f t="shared" si="7"/>
        <v>-105597140</v>
      </c>
    </row>
    <row r="229" spans="1:20" x14ac:dyDescent="0.3">
      <c r="A229" s="45">
        <v>45809</v>
      </c>
      <c r="B229">
        <v>2025</v>
      </c>
      <c r="C229" s="18" t="str">
        <f t="shared" si="6"/>
        <v>Jun</v>
      </c>
      <c r="D229" t="s">
        <v>11</v>
      </c>
      <c r="E229" t="s">
        <v>21</v>
      </c>
      <c r="F229">
        <v>160</v>
      </c>
      <c r="G229" t="s">
        <v>34</v>
      </c>
      <c r="H229" t="s">
        <v>59</v>
      </c>
      <c r="I229" s="3">
        <v>115000</v>
      </c>
      <c r="J229" s="2">
        <v>0.28000000000000003</v>
      </c>
      <c r="K229" s="20">
        <v>0.18</v>
      </c>
      <c r="L229" s="19">
        <v>147200</v>
      </c>
      <c r="M229" s="3">
        <v>135700</v>
      </c>
      <c r="N229" s="19">
        <v>-11500</v>
      </c>
      <c r="O229" s="19">
        <v>2995814400</v>
      </c>
      <c r="P229" s="19">
        <v>2899854720.0000005</v>
      </c>
      <c r="Q229">
        <v>20352</v>
      </c>
      <c r="R229" s="11">
        <v>21369.600000000002</v>
      </c>
      <c r="S229" s="12">
        <v>1017.6000000000022</v>
      </c>
      <c r="T229" s="3">
        <f t="shared" si="7"/>
        <v>-95959679.999999523</v>
      </c>
    </row>
    <row r="230" spans="1:20" x14ac:dyDescent="0.3">
      <c r="A230" s="46">
        <v>45839</v>
      </c>
      <c r="B230" s="4">
        <v>2025</v>
      </c>
      <c r="C230" s="18" t="str">
        <f t="shared" si="6"/>
        <v>Jul</v>
      </c>
      <c r="D230" s="4" t="s">
        <v>11</v>
      </c>
      <c r="E230" s="4" t="s">
        <v>21</v>
      </c>
      <c r="F230" s="4">
        <v>160</v>
      </c>
      <c r="G230" s="4" t="s">
        <v>34</v>
      </c>
      <c r="H230" t="s">
        <v>59</v>
      </c>
      <c r="I230" s="6">
        <v>115000</v>
      </c>
      <c r="J230" s="7">
        <v>0.28000000000000003</v>
      </c>
      <c r="K230" s="20">
        <v>0.18</v>
      </c>
      <c r="L230" s="19">
        <v>147200</v>
      </c>
      <c r="M230" s="6">
        <v>135700</v>
      </c>
      <c r="N230" s="19">
        <v>-11500</v>
      </c>
      <c r="O230" s="19">
        <v>2613977600</v>
      </c>
      <c r="P230" s="19">
        <v>2530248630</v>
      </c>
      <c r="Q230" s="4">
        <v>17758</v>
      </c>
      <c r="R230" s="11">
        <v>18645.900000000001</v>
      </c>
      <c r="S230" s="12">
        <v>887.90000000000146</v>
      </c>
      <c r="T230" s="3">
        <f t="shared" si="7"/>
        <v>-83728970</v>
      </c>
    </row>
    <row r="231" spans="1:20" x14ac:dyDescent="0.3">
      <c r="A231" s="45">
        <v>45870</v>
      </c>
      <c r="B231">
        <v>2025</v>
      </c>
      <c r="C231" s="18" t="str">
        <f t="shared" si="6"/>
        <v>Aug</v>
      </c>
      <c r="D231" t="s">
        <v>11</v>
      </c>
      <c r="E231" t="s">
        <v>21</v>
      </c>
      <c r="F231">
        <v>160</v>
      </c>
      <c r="G231" t="s">
        <v>34</v>
      </c>
      <c r="H231" t="s">
        <v>59</v>
      </c>
      <c r="I231" s="3">
        <v>115000</v>
      </c>
      <c r="J231" s="2">
        <v>0.28000000000000003</v>
      </c>
      <c r="K231" s="20">
        <v>0.18</v>
      </c>
      <c r="L231" s="19">
        <v>147200</v>
      </c>
      <c r="M231" s="3">
        <v>135700</v>
      </c>
      <c r="N231" s="19">
        <v>-11500</v>
      </c>
      <c r="O231" s="19">
        <v>2448672000</v>
      </c>
      <c r="P231" s="19">
        <v>2370237975</v>
      </c>
      <c r="Q231">
        <v>16635</v>
      </c>
      <c r="R231" s="11">
        <v>17466.75</v>
      </c>
      <c r="S231" s="12">
        <v>831.75</v>
      </c>
      <c r="T231" s="3">
        <f t="shared" si="7"/>
        <v>-78434025</v>
      </c>
    </row>
    <row r="232" spans="1:20" x14ac:dyDescent="0.3">
      <c r="A232" s="46">
        <v>45901</v>
      </c>
      <c r="B232" s="4">
        <v>2025</v>
      </c>
      <c r="C232" s="18" t="str">
        <f t="shared" si="6"/>
        <v>Sep</v>
      </c>
      <c r="D232" s="4" t="s">
        <v>11</v>
      </c>
      <c r="E232" s="4" t="s">
        <v>21</v>
      </c>
      <c r="F232" s="4">
        <v>160</v>
      </c>
      <c r="G232" s="4" t="s">
        <v>34</v>
      </c>
      <c r="H232" t="s">
        <v>59</v>
      </c>
      <c r="I232" s="6">
        <v>115000</v>
      </c>
      <c r="J232" s="7">
        <v>0.28000000000000003</v>
      </c>
      <c r="K232" s="20">
        <v>0.18</v>
      </c>
      <c r="L232" s="19">
        <v>147200</v>
      </c>
      <c r="M232" s="6">
        <v>135700</v>
      </c>
      <c r="N232" s="19">
        <v>-11500</v>
      </c>
      <c r="O232" s="19">
        <v>2269971200</v>
      </c>
      <c r="P232" s="19">
        <v>2197261185</v>
      </c>
      <c r="Q232" s="4">
        <v>15421</v>
      </c>
      <c r="R232" s="11">
        <v>16192.050000000001</v>
      </c>
      <c r="S232" s="12">
        <v>771.05000000000109</v>
      </c>
      <c r="T232" s="3">
        <f t="shared" si="7"/>
        <v>-72710015</v>
      </c>
    </row>
    <row r="233" spans="1:20" x14ac:dyDescent="0.3">
      <c r="A233" s="45">
        <v>44927</v>
      </c>
      <c r="B233">
        <v>2023</v>
      </c>
      <c r="C233" s="18" t="str">
        <f t="shared" si="6"/>
        <v>Jan</v>
      </c>
      <c r="D233" t="s">
        <v>11</v>
      </c>
      <c r="E233" t="s">
        <v>18</v>
      </c>
      <c r="F233">
        <v>199</v>
      </c>
      <c r="G233" t="s">
        <v>34</v>
      </c>
      <c r="H233" t="s">
        <v>59</v>
      </c>
      <c r="I233" s="3">
        <v>140000</v>
      </c>
      <c r="J233" s="2">
        <v>0.28000000000000003</v>
      </c>
      <c r="K233" s="20">
        <v>0.18</v>
      </c>
      <c r="L233" s="19">
        <v>179200</v>
      </c>
      <c r="M233" s="3">
        <v>165200</v>
      </c>
      <c r="N233" s="19">
        <v>-14000</v>
      </c>
      <c r="O233" s="19">
        <v>6839168000</v>
      </c>
      <c r="P233" s="19">
        <v>6620100900</v>
      </c>
      <c r="Q233">
        <v>38165</v>
      </c>
      <c r="R233" s="11">
        <v>40073.25</v>
      </c>
      <c r="S233" s="12">
        <v>1908.25</v>
      </c>
      <c r="T233" s="3">
        <f t="shared" si="7"/>
        <v>-219067100</v>
      </c>
    </row>
    <row r="234" spans="1:20" x14ac:dyDescent="0.3">
      <c r="A234" s="46">
        <v>44958</v>
      </c>
      <c r="B234" s="4">
        <v>2023</v>
      </c>
      <c r="C234" s="18" t="str">
        <f t="shared" si="6"/>
        <v>Feb</v>
      </c>
      <c r="D234" s="4" t="s">
        <v>11</v>
      </c>
      <c r="E234" s="4" t="s">
        <v>18</v>
      </c>
      <c r="F234" s="4">
        <v>199</v>
      </c>
      <c r="G234" s="4" t="s">
        <v>34</v>
      </c>
      <c r="H234" t="s">
        <v>59</v>
      </c>
      <c r="I234" s="6">
        <v>140000</v>
      </c>
      <c r="J234" s="7">
        <v>0.28000000000000003</v>
      </c>
      <c r="K234" s="20">
        <v>0.18</v>
      </c>
      <c r="L234" s="19">
        <v>179200</v>
      </c>
      <c r="M234" s="6">
        <v>165200</v>
      </c>
      <c r="N234" s="19">
        <v>-14000</v>
      </c>
      <c r="O234" s="19">
        <v>5263820800</v>
      </c>
      <c r="P234" s="19">
        <v>5095214040</v>
      </c>
      <c r="Q234" s="4">
        <v>29374</v>
      </c>
      <c r="R234" s="11">
        <v>30842.7</v>
      </c>
      <c r="S234" s="12">
        <v>1468.7000000000007</v>
      </c>
      <c r="T234" s="3">
        <f t="shared" si="7"/>
        <v>-168606760</v>
      </c>
    </row>
    <row r="235" spans="1:20" x14ac:dyDescent="0.3">
      <c r="A235" s="45">
        <v>44986</v>
      </c>
      <c r="B235">
        <v>2023</v>
      </c>
      <c r="C235" s="18" t="str">
        <f t="shared" si="6"/>
        <v>Mar</v>
      </c>
      <c r="D235" t="s">
        <v>11</v>
      </c>
      <c r="E235" t="s">
        <v>18</v>
      </c>
      <c r="F235">
        <v>199</v>
      </c>
      <c r="G235" t="s">
        <v>34</v>
      </c>
      <c r="H235" t="s">
        <v>59</v>
      </c>
      <c r="I235" s="3">
        <v>140000</v>
      </c>
      <c r="J235" s="2">
        <v>0.28000000000000003</v>
      </c>
      <c r="K235" s="20">
        <v>0.18</v>
      </c>
      <c r="L235" s="19">
        <v>179200</v>
      </c>
      <c r="M235" s="3">
        <v>165200</v>
      </c>
      <c r="N235" s="19">
        <v>-14000</v>
      </c>
      <c r="O235" s="19">
        <v>7236812800</v>
      </c>
      <c r="P235" s="19">
        <v>7005008640.000001</v>
      </c>
      <c r="Q235">
        <v>40384</v>
      </c>
      <c r="R235" s="11">
        <v>42403.200000000004</v>
      </c>
      <c r="S235" s="12">
        <v>2019.2000000000044</v>
      </c>
      <c r="T235" s="3">
        <f t="shared" si="7"/>
        <v>-231804159.99999905</v>
      </c>
    </row>
    <row r="236" spans="1:20" x14ac:dyDescent="0.3">
      <c r="A236" s="46">
        <v>45017</v>
      </c>
      <c r="B236" s="4">
        <v>2023</v>
      </c>
      <c r="C236" s="18" t="str">
        <f t="shared" si="6"/>
        <v>Apr</v>
      </c>
      <c r="D236" s="4" t="s">
        <v>11</v>
      </c>
      <c r="E236" s="4" t="s">
        <v>18</v>
      </c>
      <c r="F236" s="4">
        <v>199</v>
      </c>
      <c r="G236" s="4" t="s">
        <v>34</v>
      </c>
      <c r="H236" t="s">
        <v>59</v>
      </c>
      <c r="I236" s="6">
        <v>140000</v>
      </c>
      <c r="J236" s="7">
        <v>0.28000000000000003</v>
      </c>
      <c r="K236" s="20">
        <v>0.18</v>
      </c>
      <c r="L236" s="19">
        <v>179200</v>
      </c>
      <c r="M236" s="6">
        <v>165200</v>
      </c>
      <c r="N236" s="19">
        <v>-14000</v>
      </c>
      <c r="O236" s="19">
        <v>7632307200</v>
      </c>
      <c r="P236" s="19">
        <v>7387834860.000001</v>
      </c>
      <c r="Q236" s="4">
        <v>42591</v>
      </c>
      <c r="R236" s="11">
        <v>44720.55</v>
      </c>
      <c r="S236" s="12">
        <v>2129.5500000000029</v>
      </c>
      <c r="T236" s="3">
        <f t="shared" si="7"/>
        <v>-244472339.99999905</v>
      </c>
    </row>
    <row r="237" spans="1:20" x14ac:dyDescent="0.3">
      <c r="A237" s="45">
        <v>45047</v>
      </c>
      <c r="B237">
        <v>2023</v>
      </c>
      <c r="C237" s="18" t="str">
        <f t="shared" si="6"/>
        <v>May</v>
      </c>
      <c r="D237" t="s">
        <v>11</v>
      </c>
      <c r="E237" t="s">
        <v>18</v>
      </c>
      <c r="F237">
        <v>199</v>
      </c>
      <c r="G237" t="s">
        <v>34</v>
      </c>
      <c r="H237" t="s">
        <v>59</v>
      </c>
      <c r="I237" s="3">
        <v>140000</v>
      </c>
      <c r="J237" s="2">
        <v>0.28000000000000003</v>
      </c>
      <c r="K237" s="20">
        <v>0.18</v>
      </c>
      <c r="L237" s="19">
        <v>179200</v>
      </c>
      <c r="M237" s="3">
        <v>165200</v>
      </c>
      <c r="N237" s="19">
        <v>-14000</v>
      </c>
      <c r="O237" s="19">
        <v>6955648000</v>
      </c>
      <c r="P237" s="19">
        <v>6732849900</v>
      </c>
      <c r="Q237">
        <v>38815</v>
      </c>
      <c r="R237" s="11">
        <v>40755.75</v>
      </c>
      <c r="S237" s="12">
        <v>1940.75</v>
      </c>
      <c r="T237" s="3">
        <f t="shared" si="7"/>
        <v>-222798100</v>
      </c>
    </row>
    <row r="238" spans="1:20" x14ac:dyDescent="0.3">
      <c r="A238" s="46">
        <v>45078</v>
      </c>
      <c r="B238" s="4">
        <v>2023</v>
      </c>
      <c r="C238" s="18" t="str">
        <f t="shared" si="6"/>
        <v>Jun</v>
      </c>
      <c r="D238" s="4" t="s">
        <v>11</v>
      </c>
      <c r="E238" s="4" t="s">
        <v>18</v>
      </c>
      <c r="F238" s="4">
        <v>199</v>
      </c>
      <c r="G238" s="4" t="s">
        <v>34</v>
      </c>
      <c r="H238" t="s">
        <v>59</v>
      </c>
      <c r="I238" s="6">
        <v>140000</v>
      </c>
      <c r="J238" s="7">
        <v>0.28000000000000003</v>
      </c>
      <c r="K238" s="20">
        <v>0.18</v>
      </c>
      <c r="L238" s="19">
        <v>179200</v>
      </c>
      <c r="M238" s="6">
        <v>165200</v>
      </c>
      <c r="N238" s="19">
        <v>-14000</v>
      </c>
      <c r="O238" s="19">
        <v>7198822400</v>
      </c>
      <c r="P238" s="19">
        <v>6968235120</v>
      </c>
      <c r="Q238" s="4">
        <v>40172</v>
      </c>
      <c r="R238" s="11">
        <v>42180.6</v>
      </c>
      <c r="S238" s="12">
        <v>2008.5999999999985</v>
      </c>
      <c r="T238" s="3">
        <f t="shared" si="7"/>
        <v>-230587280</v>
      </c>
    </row>
    <row r="239" spans="1:20" x14ac:dyDescent="0.3">
      <c r="A239" s="45">
        <v>45108</v>
      </c>
      <c r="B239">
        <v>2023</v>
      </c>
      <c r="C239" s="18" t="str">
        <f t="shared" si="6"/>
        <v>Jul</v>
      </c>
      <c r="D239" t="s">
        <v>11</v>
      </c>
      <c r="E239" t="s">
        <v>18</v>
      </c>
      <c r="F239">
        <v>199</v>
      </c>
      <c r="G239" t="s">
        <v>34</v>
      </c>
      <c r="H239" t="s">
        <v>59</v>
      </c>
      <c r="I239" s="3">
        <v>140000</v>
      </c>
      <c r="J239" s="2">
        <v>0.28000000000000003</v>
      </c>
      <c r="K239" s="20">
        <v>0.18</v>
      </c>
      <c r="L239" s="19">
        <v>179200</v>
      </c>
      <c r="M239" s="3">
        <v>165200</v>
      </c>
      <c r="N239" s="19">
        <v>-14000</v>
      </c>
      <c r="O239" s="19">
        <v>6411596800</v>
      </c>
      <c r="P239" s="19">
        <v>6206225340.000001</v>
      </c>
      <c r="Q239">
        <v>35779</v>
      </c>
      <c r="R239" s="11">
        <v>37567.950000000004</v>
      </c>
      <c r="S239" s="12">
        <v>1788.9500000000044</v>
      </c>
      <c r="T239" s="3">
        <f t="shared" si="7"/>
        <v>-205371459.99999905</v>
      </c>
    </row>
    <row r="240" spans="1:20" x14ac:dyDescent="0.3">
      <c r="A240" s="46">
        <v>45139</v>
      </c>
      <c r="B240" s="4">
        <v>2023</v>
      </c>
      <c r="C240" s="18" t="str">
        <f t="shared" si="6"/>
        <v>Aug</v>
      </c>
      <c r="D240" s="4" t="s">
        <v>11</v>
      </c>
      <c r="E240" s="4" t="s">
        <v>18</v>
      </c>
      <c r="F240" s="4">
        <v>199</v>
      </c>
      <c r="G240" s="4" t="s">
        <v>34</v>
      </c>
      <c r="H240" t="s">
        <v>59</v>
      </c>
      <c r="I240" s="6">
        <v>140000</v>
      </c>
      <c r="J240" s="7">
        <v>0.28000000000000003</v>
      </c>
      <c r="K240" s="20">
        <v>0.18</v>
      </c>
      <c r="L240" s="19">
        <v>179200</v>
      </c>
      <c r="M240" s="6">
        <v>165200</v>
      </c>
      <c r="N240" s="19">
        <v>-14000</v>
      </c>
      <c r="O240" s="19">
        <v>5034086400</v>
      </c>
      <c r="P240" s="19">
        <v>4872838320</v>
      </c>
      <c r="Q240" s="4">
        <v>28092</v>
      </c>
      <c r="R240" s="11">
        <v>29496.600000000002</v>
      </c>
      <c r="S240" s="12">
        <v>1404.6000000000022</v>
      </c>
      <c r="T240" s="3">
        <f t="shared" si="7"/>
        <v>-161248080</v>
      </c>
    </row>
    <row r="241" spans="1:20" x14ac:dyDescent="0.3">
      <c r="A241" s="45">
        <v>45170</v>
      </c>
      <c r="B241">
        <v>2023</v>
      </c>
      <c r="C241" s="18" t="str">
        <f t="shared" si="6"/>
        <v>Sep</v>
      </c>
      <c r="D241" t="s">
        <v>11</v>
      </c>
      <c r="E241" t="s">
        <v>18</v>
      </c>
      <c r="F241">
        <v>199</v>
      </c>
      <c r="G241" t="s">
        <v>34</v>
      </c>
      <c r="H241" t="s">
        <v>59</v>
      </c>
      <c r="I241" s="3">
        <v>140000</v>
      </c>
      <c r="J241" s="2">
        <v>0.28000000000000003</v>
      </c>
      <c r="K241" s="20">
        <v>0.18</v>
      </c>
      <c r="L241" s="19">
        <v>179200</v>
      </c>
      <c r="M241" s="3">
        <v>165200</v>
      </c>
      <c r="N241" s="19">
        <v>-14000</v>
      </c>
      <c r="O241" s="19">
        <v>5287296000</v>
      </c>
      <c r="P241" s="19">
        <v>5117937300</v>
      </c>
      <c r="Q241">
        <v>29505</v>
      </c>
      <c r="R241" s="11">
        <v>30980.25</v>
      </c>
      <c r="S241" s="12">
        <v>1475.25</v>
      </c>
      <c r="T241" s="3">
        <f t="shared" si="7"/>
        <v>-169358700</v>
      </c>
    </row>
    <row r="242" spans="1:20" x14ac:dyDescent="0.3">
      <c r="A242" s="46">
        <v>45200</v>
      </c>
      <c r="B242" s="4">
        <v>2023</v>
      </c>
      <c r="C242" s="18" t="str">
        <f t="shared" si="6"/>
        <v>Oct</v>
      </c>
      <c r="D242" s="4" t="s">
        <v>11</v>
      </c>
      <c r="E242" s="4" t="s">
        <v>18</v>
      </c>
      <c r="F242" s="4">
        <v>199</v>
      </c>
      <c r="G242" s="4" t="s">
        <v>34</v>
      </c>
      <c r="H242" t="s">
        <v>59</v>
      </c>
      <c r="I242" s="6">
        <v>140000</v>
      </c>
      <c r="J242" s="7">
        <v>0.28000000000000003</v>
      </c>
      <c r="K242" s="20">
        <v>0.18</v>
      </c>
      <c r="L242" s="19">
        <v>179200</v>
      </c>
      <c r="M242" s="6">
        <v>165200</v>
      </c>
      <c r="N242" s="19">
        <v>-14000</v>
      </c>
      <c r="O242" s="19">
        <v>5984025600</v>
      </c>
      <c r="P242" s="19">
        <v>5792349780</v>
      </c>
      <c r="Q242" s="4">
        <v>33393</v>
      </c>
      <c r="R242" s="11">
        <v>35062.65</v>
      </c>
      <c r="S242" s="12">
        <v>1669.6500000000015</v>
      </c>
      <c r="T242" s="3">
        <f t="shared" si="7"/>
        <v>-191675820</v>
      </c>
    </row>
    <row r="243" spans="1:20" x14ac:dyDescent="0.3">
      <c r="A243" s="45">
        <v>45231</v>
      </c>
      <c r="B243">
        <v>2023</v>
      </c>
      <c r="C243" s="18" t="str">
        <f t="shared" si="6"/>
        <v>Nov</v>
      </c>
      <c r="D243" t="s">
        <v>11</v>
      </c>
      <c r="E243" t="s">
        <v>18</v>
      </c>
      <c r="F243">
        <v>199</v>
      </c>
      <c r="G243" t="s">
        <v>34</v>
      </c>
      <c r="H243" t="s">
        <v>59</v>
      </c>
      <c r="I243" s="3">
        <v>140000</v>
      </c>
      <c r="J243" s="2">
        <v>0.28000000000000003</v>
      </c>
      <c r="K243" s="20">
        <v>0.18</v>
      </c>
      <c r="L243" s="19">
        <v>179200</v>
      </c>
      <c r="M243" s="3">
        <v>165200</v>
      </c>
      <c r="N243" s="19">
        <v>-14000</v>
      </c>
      <c r="O243" s="19">
        <v>6074700800</v>
      </c>
      <c r="P243" s="19">
        <v>5880120540.000001</v>
      </c>
      <c r="Q243">
        <v>33899</v>
      </c>
      <c r="R243" s="11">
        <v>35593.950000000004</v>
      </c>
      <c r="S243" s="12">
        <v>1694.9500000000044</v>
      </c>
      <c r="T243" s="3">
        <f t="shared" si="7"/>
        <v>-194580259.99999905</v>
      </c>
    </row>
    <row r="244" spans="1:20" x14ac:dyDescent="0.3">
      <c r="A244" s="46">
        <v>45261</v>
      </c>
      <c r="B244" s="4">
        <v>2023</v>
      </c>
      <c r="C244" s="18" t="str">
        <f t="shared" si="6"/>
        <v>Dec</v>
      </c>
      <c r="D244" s="4" t="s">
        <v>11</v>
      </c>
      <c r="E244" s="4" t="s">
        <v>18</v>
      </c>
      <c r="F244" s="4">
        <v>199</v>
      </c>
      <c r="G244" s="4" t="s">
        <v>34</v>
      </c>
      <c r="H244" t="s">
        <v>59</v>
      </c>
      <c r="I244" s="6">
        <v>140000</v>
      </c>
      <c r="J244" s="7">
        <v>0.28000000000000003</v>
      </c>
      <c r="K244" s="20">
        <v>0.18</v>
      </c>
      <c r="L244" s="19">
        <v>179200</v>
      </c>
      <c r="M244" s="6">
        <v>165200</v>
      </c>
      <c r="N244" s="19">
        <v>-14000</v>
      </c>
      <c r="O244" s="19">
        <v>5689241600</v>
      </c>
      <c r="P244" s="19">
        <v>5507008080</v>
      </c>
      <c r="Q244" s="4">
        <v>31748</v>
      </c>
      <c r="R244" s="11">
        <v>33335.4</v>
      </c>
      <c r="S244" s="12">
        <v>1587.4000000000015</v>
      </c>
      <c r="T244" s="3">
        <f t="shared" si="7"/>
        <v>-182233520</v>
      </c>
    </row>
    <row r="245" spans="1:20" x14ac:dyDescent="0.3">
      <c r="A245" s="45">
        <v>45292</v>
      </c>
      <c r="B245">
        <v>2024</v>
      </c>
      <c r="C245" s="18" t="str">
        <f t="shared" si="6"/>
        <v>Jan</v>
      </c>
      <c r="D245" t="s">
        <v>11</v>
      </c>
      <c r="E245" t="s">
        <v>18</v>
      </c>
      <c r="F245">
        <v>199</v>
      </c>
      <c r="G245" t="s">
        <v>34</v>
      </c>
      <c r="H245" t="s">
        <v>59</v>
      </c>
      <c r="I245" s="3">
        <v>140000</v>
      </c>
      <c r="J245" s="2">
        <v>0.28000000000000003</v>
      </c>
      <c r="K245" s="20">
        <v>0.18</v>
      </c>
      <c r="L245" s="19">
        <v>179200</v>
      </c>
      <c r="M245" s="3">
        <v>165200</v>
      </c>
      <c r="N245" s="19">
        <v>-14000</v>
      </c>
      <c r="O245" s="19">
        <v>6646707200</v>
      </c>
      <c r="P245" s="19">
        <v>6433804860.000001</v>
      </c>
      <c r="Q245">
        <v>37091</v>
      </c>
      <c r="R245" s="11">
        <v>38945.550000000003</v>
      </c>
      <c r="S245" s="12">
        <v>1854.5500000000029</v>
      </c>
      <c r="T245" s="3">
        <f t="shared" si="7"/>
        <v>-212902339.99999905</v>
      </c>
    </row>
    <row r="246" spans="1:20" x14ac:dyDescent="0.3">
      <c r="A246" s="46">
        <v>45323</v>
      </c>
      <c r="B246" s="4">
        <v>2024</v>
      </c>
      <c r="C246" s="18" t="str">
        <f t="shared" si="6"/>
        <v>Feb</v>
      </c>
      <c r="D246" s="4" t="s">
        <v>11</v>
      </c>
      <c r="E246" s="4" t="s">
        <v>18</v>
      </c>
      <c r="F246" s="4">
        <v>199</v>
      </c>
      <c r="G246" s="4" t="s">
        <v>34</v>
      </c>
      <c r="H246" t="s">
        <v>59</v>
      </c>
      <c r="I246" s="6">
        <v>140000</v>
      </c>
      <c r="J246" s="7">
        <v>0.28000000000000003</v>
      </c>
      <c r="K246" s="20">
        <v>0.18</v>
      </c>
      <c r="L246" s="19">
        <v>179200</v>
      </c>
      <c r="M246" s="6">
        <v>165200</v>
      </c>
      <c r="N246" s="19">
        <v>-14000</v>
      </c>
      <c r="O246" s="19">
        <v>6049971200</v>
      </c>
      <c r="P246" s="19">
        <v>5856183060.000001</v>
      </c>
      <c r="Q246" s="4">
        <v>33761</v>
      </c>
      <c r="R246" s="11">
        <v>35449.050000000003</v>
      </c>
      <c r="S246" s="12">
        <v>1688.0500000000029</v>
      </c>
      <c r="T246" s="3">
        <f t="shared" si="7"/>
        <v>-193788139.99999905</v>
      </c>
    </row>
    <row r="247" spans="1:20" x14ac:dyDescent="0.3">
      <c r="A247" s="45">
        <v>45352</v>
      </c>
      <c r="B247">
        <v>2024</v>
      </c>
      <c r="C247" s="18" t="str">
        <f t="shared" si="6"/>
        <v>Mar</v>
      </c>
      <c r="D247" t="s">
        <v>11</v>
      </c>
      <c r="E247" t="s">
        <v>18</v>
      </c>
      <c r="F247">
        <v>199</v>
      </c>
      <c r="G247" t="s">
        <v>34</v>
      </c>
      <c r="H247" t="s">
        <v>59</v>
      </c>
      <c r="I247" s="3">
        <v>140000</v>
      </c>
      <c r="J247" s="2">
        <v>0.28000000000000003</v>
      </c>
      <c r="K247" s="20">
        <v>0.18</v>
      </c>
      <c r="L247" s="19">
        <v>179200</v>
      </c>
      <c r="M247" s="3">
        <v>165200</v>
      </c>
      <c r="N247" s="19">
        <v>-14000</v>
      </c>
      <c r="O247" s="19">
        <v>6856908800</v>
      </c>
      <c r="P247" s="19">
        <v>6637273440.000001</v>
      </c>
      <c r="Q247">
        <v>38264</v>
      </c>
      <c r="R247" s="11">
        <v>40177.200000000004</v>
      </c>
      <c r="S247" s="12">
        <v>1913.2000000000044</v>
      </c>
      <c r="T247" s="3">
        <f t="shared" si="7"/>
        <v>-219635359.99999905</v>
      </c>
    </row>
    <row r="248" spans="1:20" x14ac:dyDescent="0.3">
      <c r="A248" s="46">
        <v>45383</v>
      </c>
      <c r="B248" s="4">
        <v>2024</v>
      </c>
      <c r="C248" s="18" t="str">
        <f t="shared" si="6"/>
        <v>Apr</v>
      </c>
      <c r="D248" s="4" t="s">
        <v>11</v>
      </c>
      <c r="E248" s="4" t="s">
        <v>18</v>
      </c>
      <c r="F248" s="4">
        <v>199</v>
      </c>
      <c r="G248" s="4" t="s">
        <v>34</v>
      </c>
      <c r="H248" t="s">
        <v>59</v>
      </c>
      <c r="I248" s="6">
        <v>140000</v>
      </c>
      <c r="J248" s="7">
        <v>0.28000000000000003</v>
      </c>
      <c r="K248" s="20">
        <v>0.18</v>
      </c>
      <c r="L248" s="19">
        <v>179200</v>
      </c>
      <c r="M248" s="6">
        <v>165200</v>
      </c>
      <c r="N248" s="19">
        <v>-14000</v>
      </c>
      <c r="O248" s="19">
        <v>6376294400</v>
      </c>
      <c r="P248" s="19">
        <v>6172053720</v>
      </c>
      <c r="Q248" s="4">
        <v>35582</v>
      </c>
      <c r="R248" s="11">
        <v>37361.1</v>
      </c>
      <c r="S248" s="12">
        <v>1779.0999999999985</v>
      </c>
      <c r="T248" s="3">
        <f t="shared" si="7"/>
        <v>-204240680</v>
      </c>
    </row>
    <row r="249" spans="1:20" x14ac:dyDescent="0.3">
      <c r="A249" s="45">
        <v>45413</v>
      </c>
      <c r="B249">
        <v>2024</v>
      </c>
      <c r="C249" s="18" t="str">
        <f t="shared" si="6"/>
        <v>May</v>
      </c>
      <c r="D249" t="s">
        <v>11</v>
      </c>
      <c r="E249" t="s">
        <v>18</v>
      </c>
      <c r="F249">
        <v>199</v>
      </c>
      <c r="G249" t="s">
        <v>34</v>
      </c>
      <c r="H249" t="s">
        <v>59</v>
      </c>
      <c r="I249" s="3">
        <v>140000</v>
      </c>
      <c r="J249" s="2">
        <v>0.28000000000000003</v>
      </c>
      <c r="K249" s="20">
        <v>0.18</v>
      </c>
      <c r="L249" s="19">
        <v>179200</v>
      </c>
      <c r="M249" s="3">
        <v>165200</v>
      </c>
      <c r="N249" s="19">
        <v>-14000</v>
      </c>
      <c r="O249" s="19">
        <v>6418406400</v>
      </c>
      <c r="P249" s="19">
        <v>6212816820</v>
      </c>
      <c r="Q249">
        <v>35817</v>
      </c>
      <c r="R249" s="11">
        <v>37607.85</v>
      </c>
      <c r="S249" s="12">
        <v>1790.8499999999985</v>
      </c>
      <c r="T249" s="3">
        <f t="shared" si="7"/>
        <v>-205589580</v>
      </c>
    </row>
    <row r="250" spans="1:20" x14ac:dyDescent="0.3">
      <c r="A250" s="46">
        <v>45444</v>
      </c>
      <c r="B250" s="4">
        <v>2024</v>
      </c>
      <c r="C250" s="18" t="str">
        <f t="shared" si="6"/>
        <v>Jun</v>
      </c>
      <c r="D250" s="4" t="s">
        <v>11</v>
      </c>
      <c r="E250" s="4" t="s">
        <v>18</v>
      </c>
      <c r="F250" s="4">
        <v>199</v>
      </c>
      <c r="G250" s="4" t="s">
        <v>34</v>
      </c>
      <c r="H250" t="s">
        <v>59</v>
      </c>
      <c r="I250" s="6">
        <v>140000</v>
      </c>
      <c r="J250" s="7">
        <v>0.28000000000000003</v>
      </c>
      <c r="K250" s="20">
        <v>0.18</v>
      </c>
      <c r="L250" s="19">
        <v>179200</v>
      </c>
      <c r="M250" s="6">
        <v>165200</v>
      </c>
      <c r="N250" s="19">
        <v>-14000</v>
      </c>
      <c r="O250" s="19">
        <v>6588288000</v>
      </c>
      <c r="P250" s="19">
        <v>6377256900</v>
      </c>
      <c r="Q250" s="4">
        <v>36765</v>
      </c>
      <c r="R250" s="11">
        <v>38603.25</v>
      </c>
      <c r="S250" s="12">
        <v>1838.25</v>
      </c>
      <c r="T250" s="3">
        <f t="shared" si="7"/>
        <v>-211031100</v>
      </c>
    </row>
    <row r="251" spans="1:20" x14ac:dyDescent="0.3">
      <c r="A251" s="45">
        <v>45474</v>
      </c>
      <c r="B251">
        <v>2024</v>
      </c>
      <c r="C251" s="18" t="str">
        <f t="shared" si="6"/>
        <v>Jul</v>
      </c>
      <c r="D251" t="s">
        <v>11</v>
      </c>
      <c r="E251" t="s">
        <v>18</v>
      </c>
      <c r="F251">
        <v>199</v>
      </c>
      <c r="G251" t="s">
        <v>34</v>
      </c>
      <c r="H251" t="s">
        <v>59</v>
      </c>
      <c r="I251" s="3">
        <v>140000</v>
      </c>
      <c r="J251" s="2">
        <v>0.28000000000000003</v>
      </c>
      <c r="K251" s="20">
        <v>0.18</v>
      </c>
      <c r="L251" s="19">
        <v>179200</v>
      </c>
      <c r="M251" s="3">
        <v>165200</v>
      </c>
      <c r="N251" s="19">
        <v>-14000</v>
      </c>
      <c r="O251" s="19">
        <v>5552153600</v>
      </c>
      <c r="P251" s="19">
        <v>5374311180</v>
      </c>
      <c r="Q251">
        <v>30983</v>
      </c>
      <c r="R251" s="11">
        <v>32532.15</v>
      </c>
      <c r="S251" s="12">
        <v>1549.1500000000015</v>
      </c>
      <c r="T251" s="3">
        <f t="shared" si="7"/>
        <v>-177842420</v>
      </c>
    </row>
    <row r="252" spans="1:20" x14ac:dyDescent="0.3">
      <c r="A252" s="46">
        <v>45505</v>
      </c>
      <c r="B252" s="4">
        <v>2024</v>
      </c>
      <c r="C252" s="18" t="str">
        <f t="shared" si="6"/>
        <v>Aug</v>
      </c>
      <c r="D252" s="4" t="s">
        <v>11</v>
      </c>
      <c r="E252" s="4" t="s">
        <v>18</v>
      </c>
      <c r="F252" s="4">
        <v>199</v>
      </c>
      <c r="G252" s="4" t="s">
        <v>34</v>
      </c>
      <c r="H252" t="s">
        <v>59</v>
      </c>
      <c r="I252" s="6">
        <v>140000</v>
      </c>
      <c r="J252" s="7">
        <v>0.28000000000000003</v>
      </c>
      <c r="K252" s="20">
        <v>0.18</v>
      </c>
      <c r="L252" s="19">
        <v>179200</v>
      </c>
      <c r="M252" s="6">
        <v>165200</v>
      </c>
      <c r="N252" s="19">
        <v>-14000</v>
      </c>
      <c r="O252" s="19">
        <v>6023628800</v>
      </c>
      <c r="P252" s="19">
        <v>5830684440.000001</v>
      </c>
      <c r="Q252" s="4">
        <v>33614</v>
      </c>
      <c r="R252" s="11">
        <v>35294.700000000004</v>
      </c>
      <c r="S252" s="12">
        <v>1680.7000000000044</v>
      </c>
      <c r="T252" s="3">
        <f t="shared" si="7"/>
        <v>-192944359.99999905</v>
      </c>
    </row>
    <row r="253" spans="1:20" x14ac:dyDescent="0.3">
      <c r="A253" s="45">
        <v>45536</v>
      </c>
      <c r="B253">
        <v>2024</v>
      </c>
      <c r="C253" s="18" t="str">
        <f t="shared" si="6"/>
        <v>Sep</v>
      </c>
      <c r="D253" t="s">
        <v>11</v>
      </c>
      <c r="E253" t="s">
        <v>18</v>
      </c>
      <c r="F253">
        <v>199</v>
      </c>
      <c r="G253" t="s">
        <v>34</v>
      </c>
      <c r="H253" t="s">
        <v>59</v>
      </c>
      <c r="I253" s="3">
        <v>140000</v>
      </c>
      <c r="J253" s="2">
        <v>0.28000000000000003</v>
      </c>
      <c r="K253" s="20">
        <v>0.18</v>
      </c>
      <c r="L253" s="19">
        <v>179200</v>
      </c>
      <c r="M253" s="3">
        <v>165200</v>
      </c>
      <c r="N253" s="19">
        <v>-14000</v>
      </c>
      <c r="O253" s="19">
        <v>5449113600</v>
      </c>
      <c r="P253" s="19">
        <v>5274571680</v>
      </c>
      <c r="Q253">
        <v>30408</v>
      </c>
      <c r="R253" s="11">
        <v>31928.400000000001</v>
      </c>
      <c r="S253" s="12">
        <v>1520.4000000000015</v>
      </c>
      <c r="T253" s="3">
        <f t="shared" si="7"/>
        <v>-174541920</v>
      </c>
    </row>
    <row r="254" spans="1:20" x14ac:dyDescent="0.3">
      <c r="A254" s="46">
        <v>45566</v>
      </c>
      <c r="B254" s="4">
        <v>2024</v>
      </c>
      <c r="C254" s="18" t="str">
        <f t="shared" si="6"/>
        <v>Oct</v>
      </c>
      <c r="D254" s="4" t="s">
        <v>11</v>
      </c>
      <c r="E254" s="4" t="s">
        <v>18</v>
      </c>
      <c r="F254" s="4">
        <v>199</v>
      </c>
      <c r="G254" s="4" t="s">
        <v>34</v>
      </c>
      <c r="H254" t="s">
        <v>59</v>
      </c>
      <c r="I254" s="6">
        <v>140000</v>
      </c>
      <c r="J254" s="7">
        <v>0.28000000000000003</v>
      </c>
      <c r="K254" s="20">
        <v>0.18</v>
      </c>
      <c r="L254" s="19">
        <v>179200</v>
      </c>
      <c r="M254" s="6">
        <v>165200</v>
      </c>
      <c r="N254" s="19">
        <v>-14000</v>
      </c>
      <c r="O254" s="19">
        <v>4862592000</v>
      </c>
      <c r="P254" s="19">
        <v>4706837100</v>
      </c>
      <c r="Q254" s="4">
        <v>27135</v>
      </c>
      <c r="R254" s="11">
        <v>28491.75</v>
      </c>
      <c r="S254" s="12">
        <v>1356.75</v>
      </c>
      <c r="T254" s="3">
        <f t="shared" si="7"/>
        <v>-155754900</v>
      </c>
    </row>
    <row r="255" spans="1:20" x14ac:dyDescent="0.3">
      <c r="A255" s="45">
        <v>45597</v>
      </c>
      <c r="B255">
        <v>2024</v>
      </c>
      <c r="C255" s="18" t="str">
        <f t="shared" si="6"/>
        <v>Nov</v>
      </c>
      <c r="D255" t="s">
        <v>11</v>
      </c>
      <c r="E255" t="s">
        <v>18</v>
      </c>
      <c r="F255">
        <v>199</v>
      </c>
      <c r="G255" t="s">
        <v>34</v>
      </c>
      <c r="H255" t="s">
        <v>59</v>
      </c>
      <c r="I255" s="3">
        <v>140000</v>
      </c>
      <c r="J255" s="2">
        <v>0.28000000000000003</v>
      </c>
      <c r="K255" s="20">
        <v>0.18</v>
      </c>
      <c r="L255" s="19">
        <v>179200</v>
      </c>
      <c r="M255" s="3">
        <v>165200</v>
      </c>
      <c r="N255" s="19">
        <v>-14000</v>
      </c>
      <c r="O255" s="19">
        <v>5961804800</v>
      </c>
      <c r="P255" s="19">
        <v>5770840740.000001</v>
      </c>
      <c r="Q255">
        <v>33269</v>
      </c>
      <c r="R255" s="11">
        <v>34932.450000000004</v>
      </c>
      <c r="S255" s="12">
        <v>1663.4500000000044</v>
      </c>
      <c r="T255" s="3">
        <f t="shared" si="7"/>
        <v>-190964059.99999905</v>
      </c>
    </row>
    <row r="256" spans="1:20" x14ac:dyDescent="0.3">
      <c r="A256" s="46">
        <v>45627</v>
      </c>
      <c r="B256" s="4">
        <v>2024</v>
      </c>
      <c r="C256" s="18" t="str">
        <f t="shared" si="6"/>
        <v>Dec</v>
      </c>
      <c r="D256" s="4" t="s">
        <v>11</v>
      </c>
      <c r="E256" s="4" t="s">
        <v>18</v>
      </c>
      <c r="F256" s="4">
        <v>199</v>
      </c>
      <c r="G256" s="4" t="s">
        <v>34</v>
      </c>
      <c r="H256" t="s">
        <v>59</v>
      </c>
      <c r="I256" s="6">
        <v>140000</v>
      </c>
      <c r="J256" s="7">
        <v>0.28000000000000003</v>
      </c>
      <c r="K256" s="20">
        <v>0.18</v>
      </c>
      <c r="L256" s="19">
        <v>179200</v>
      </c>
      <c r="M256" s="6">
        <v>165200</v>
      </c>
      <c r="N256" s="19">
        <v>-14000</v>
      </c>
      <c r="O256" s="19">
        <v>6318233600</v>
      </c>
      <c r="P256" s="19">
        <v>6115852680</v>
      </c>
      <c r="Q256" s="4">
        <v>35258</v>
      </c>
      <c r="R256" s="11">
        <v>37020.9</v>
      </c>
      <c r="S256" s="12">
        <v>1762.9000000000015</v>
      </c>
      <c r="T256" s="3">
        <f t="shared" si="7"/>
        <v>-202380920</v>
      </c>
    </row>
    <row r="257" spans="1:20" x14ac:dyDescent="0.3">
      <c r="A257" s="45">
        <v>45658</v>
      </c>
      <c r="B257">
        <v>2025</v>
      </c>
      <c r="C257" s="18" t="str">
        <f t="shared" si="6"/>
        <v>Jan</v>
      </c>
      <c r="D257" t="s">
        <v>11</v>
      </c>
      <c r="E257" t="s">
        <v>18</v>
      </c>
      <c r="F257">
        <v>199</v>
      </c>
      <c r="G257" t="s">
        <v>34</v>
      </c>
      <c r="H257" t="s">
        <v>59</v>
      </c>
      <c r="I257" s="3">
        <v>140000</v>
      </c>
      <c r="J257" s="2">
        <v>0.28000000000000003</v>
      </c>
      <c r="K257" s="20">
        <v>0.18</v>
      </c>
      <c r="L257" s="19">
        <v>179200</v>
      </c>
      <c r="M257" s="3">
        <v>165200</v>
      </c>
      <c r="N257" s="19">
        <v>-14000</v>
      </c>
      <c r="O257" s="19">
        <v>7372288000</v>
      </c>
      <c r="P257" s="19">
        <v>7136144400</v>
      </c>
      <c r="Q257">
        <v>41140</v>
      </c>
      <c r="R257" s="11">
        <v>43197</v>
      </c>
      <c r="S257" s="12">
        <v>2057</v>
      </c>
      <c r="T257" s="3">
        <f t="shared" si="7"/>
        <v>-236143600</v>
      </c>
    </row>
    <row r="258" spans="1:20" x14ac:dyDescent="0.3">
      <c r="A258" s="46">
        <v>45689</v>
      </c>
      <c r="B258" s="4">
        <v>2025</v>
      </c>
      <c r="C258" s="18" t="str">
        <f t="shared" si="6"/>
        <v>Feb</v>
      </c>
      <c r="D258" s="4" t="s">
        <v>11</v>
      </c>
      <c r="E258" s="4" t="s">
        <v>18</v>
      </c>
      <c r="F258" s="4">
        <v>199</v>
      </c>
      <c r="G258" s="4" t="s">
        <v>34</v>
      </c>
      <c r="H258" t="s">
        <v>59</v>
      </c>
      <c r="I258" s="6">
        <v>140000</v>
      </c>
      <c r="J258" s="7">
        <v>0.28000000000000003</v>
      </c>
      <c r="K258" s="20">
        <v>0.18</v>
      </c>
      <c r="L258" s="19">
        <v>179200</v>
      </c>
      <c r="M258" s="6">
        <v>165200</v>
      </c>
      <c r="N258" s="19">
        <v>-14000</v>
      </c>
      <c r="O258" s="19">
        <v>6633267200</v>
      </c>
      <c r="P258" s="19">
        <v>6420795360.000001</v>
      </c>
      <c r="Q258" s="4">
        <v>37016</v>
      </c>
      <c r="R258" s="11">
        <v>38866.800000000003</v>
      </c>
      <c r="S258" s="12">
        <v>1850.8000000000029</v>
      </c>
      <c r="T258" s="3">
        <f t="shared" si="7"/>
        <v>-212471839.99999905</v>
      </c>
    </row>
    <row r="259" spans="1:20" x14ac:dyDescent="0.3">
      <c r="A259" s="45">
        <v>45717</v>
      </c>
      <c r="B259">
        <v>2025</v>
      </c>
      <c r="C259" s="18" t="str">
        <f t="shared" ref="C259:C322" si="8">TEXT(A259,"mmm")</f>
        <v>Mar</v>
      </c>
      <c r="D259" t="s">
        <v>11</v>
      </c>
      <c r="E259" t="s">
        <v>18</v>
      </c>
      <c r="F259">
        <v>199</v>
      </c>
      <c r="G259" t="s">
        <v>34</v>
      </c>
      <c r="H259" t="s">
        <v>59</v>
      </c>
      <c r="I259" s="3">
        <v>140000</v>
      </c>
      <c r="J259" s="2">
        <v>0.28000000000000003</v>
      </c>
      <c r="K259" s="20">
        <v>0.18</v>
      </c>
      <c r="L259" s="19">
        <v>179200</v>
      </c>
      <c r="M259" s="3">
        <v>165200</v>
      </c>
      <c r="N259" s="19">
        <v>-14000</v>
      </c>
      <c r="O259" s="19">
        <v>7606144000</v>
      </c>
      <c r="P259" s="19">
        <v>7362509700</v>
      </c>
      <c r="Q259">
        <v>42445</v>
      </c>
      <c r="R259" s="11">
        <v>44567.25</v>
      </c>
      <c r="S259" s="12">
        <v>2122.25</v>
      </c>
      <c r="T259" s="3">
        <f t="shared" ref="T259:T322" si="9">P259-O259</f>
        <v>-243634300</v>
      </c>
    </row>
    <row r="260" spans="1:20" x14ac:dyDescent="0.3">
      <c r="A260" s="46">
        <v>45748</v>
      </c>
      <c r="B260" s="4">
        <v>2025</v>
      </c>
      <c r="C260" s="18" t="str">
        <f t="shared" si="8"/>
        <v>Apr</v>
      </c>
      <c r="D260" s="4" t="s">
        <v>11</v>
      </c>
      <c r="E260" s="4" t="s">
        <v>18</v>
      </c>
      <c r="F260" s="4">
        <v>199</v>
      </c>
      <c r="G260" s="4" t="s">
        <v>34</v>
      </c>
      <c r="H260" t="s">
        <v>59</v>
      </c>
      <c r="I260" s="6">
        <v>140000</v>
      </c>
      <c r="J260" s="7">
        <v>0.28000000000000003</v>
      </c>
      <c r="K260" s="20">
        <v>0.18</v>
      </c>
      <c r="L260" s="19">
        <v>179200</v>
      </c>
      <c r="M260" s="6">
        <v>165200</v>
      </c>
      <c r="N260" s="19">
        <v>-14000</v>
      </c>
      <c r="O260" s="19">
        <v>6877516800</v>
      </c>
      <c r="P260" s="19">
        <v>6657221340.000001</v>
      </c>
      <c r="Q260" s="4">
        <v>38379</v>
      </c>
      <c r="R260" s="11">
        <v>40297.950000000004</v>
      </c>
      <c r="S260" s="12">
        <v>1918.9500000000044</v>
      </c>
      <c r="T260" s="3">
        <f t="shared" si="9"/>
        <v>-220295459.99999905</v>
      </c>
    </row>
    <row r="261" spans="1:20" x14ac:dyDescent="0.3">
      <c r="A261" s="45">
        <v>45778</v>
      </c>
      <c r="B261">
        <v>2025</v>
      </c>
      <c r="C261" s="18" t="str">
        <f t="shared" si="8"/>
        <v>May</v>
      </c>
      <c r="D261" t="s">
        <v>11</v>
      </c>
      <c r="E261" t="s">
        <v>18</v>
      </c>
      <c r="F261">
        <v>199</v>
      </c>
      <c r="G261" t="s">
        <v>34</v>
      </c>
      <c r="H261" t="s">
        <v>59</v>
      </c>
      <c r="I261" s="3">
        <v>140000</v>
      </c>
      <c r="J261" s="2">
        <v>0.28000000000000003</v>
      </c>
      <c r="K261" s="20">
        <v>0.18</v>
      </c>
      <c r="L261" s="19">
        <v>179200</v>
      </c>
      <c r="M261" s="3">
        <v>165200</v>
      </c>
      <c r="N261" s="19">
        <v>-14000</v>
      </c>
      <c r="O261" s="19">
        <v>9032038400</v>
      </c>
      <c r="P261" s="19">
        <v>8742730920.0000019</v>
      </c>
      <c r="Q261">
        <v>50402</v>
      </c>
      <c r="R261" s="11">
        <v>52922.100000000006</v>
      </c>
      <c r="S261" s="12">
        <v>2520.1000000000058</v>
      </c>
      <c r="T261" s="3">
        <f t="shared" si="9"/>
        <v>-289307479.99999809</v>
      </c>
    </row>
    <row r="262" spans="1:20" x14ac:dyDescent="0.3">
      <c r="A262" s="46">
        <v>45809</v>
      </c>
      <c r="B262" s="4">
        <v>2025</v>
      </c>
      <c r="C262" s="18" t="str">
        <f t="shared" si="8"/>
        <v>Jun</v>
      </c>
      <c r="D262" s="4" t="s">
        <v>11</v>
      </c>
      <c r="E262" s="4" t="s">
        <v>18</v>
      </c>
      <c r="F262" s="4">
        <v>199</v>
      </c>
      <c r="G262" s="4" t="s">
        <v>34</v>
      </c>
      <c r="H262" t="s">
        <v>59</v>
      </c>
      <c r="I262" s="6">
        <v>140000</v>
      </c>
      <c r="J262" s="7">
        <v>0.28000000000000003</v>
      </c>
      <c r="K262" s="20">
        <v>0.18</v>
      </c>
      <c r="L262" s="19">
        <v>179200</v>
      </c>
      <c r="M262" s="6">
        <v>165200</v>
      </c>
      <c r="N262" s="19">
        <v>-14000</v>
      </c>
      <c r="O262" s="19">
        <v>6244403200</v>
      </c>
      <c r="P262" s="19">
        <v>6044387160.000001</v>
      </c>
      <c r="Q262" s="4">
        <v>34846</v>
      </c>
      <c r="R262" s="11">
        <v>36588.300000000003</v>
      </c>
      <c r="S262" s="12">
        <v>1742.3000000000029</v>
      </c>
      <c r="T262" s="3">
        <f t="shared" si="9"/>
        <v>-200016039.99999905</v>
      </c>
    </row>
    <row r="263" spans="1:20" x14ac:dyDescent="0.3">
      <c r="A263" s="45">
        <v>45839</v>
      </c>
      <c r="B263">
        <v>2025</v>
      </c>
      <c r="C263" s="18" t="str">
        <f t="shared" si="8"/>
        <v>Jul</v>
      </c>
      <c r="D263" t="s">
        <v>11</v>
      </c>
      <c r="E263" t="s">
        <v>18</v>
      </c>
      <c r="F263">
        <v>199</v>
      </c>
      <c r="G263" t="s">
        <v>34</v>
      </c>
      <c r="H263" t="s">
        <v>59</v>
      </c>
      <c r="I263" s="3">
        <v>140000</v>
      </c>
      <c r="J263" s="2">
        <v>0.28000000000000003</v>
      </c>
      <c r="K263" s="20">
        <v>0.18</v>
      </c>
      <c r="L263" s="19">
        <v>179200</v>
      </c>
      <c r="M263" s="3">
        <v>165200</v>
      </c>
      <c r="N263" s="19">
        <v>-14000</v>
      </c>
      <c r="O263" s="19">
        <v>5501260800</v>
      </c>
      <c r="P263" s="19">
        <v>5325048540</v>
      </c>
      <c r="Q263">
        <v>30699</v>
      </c>
      <c r="R263" s="11">
        <v>32233.95</v>
      </c>
      <c r="S263" s="12">
        <v>1534.9500000000007</v>
      </c>
      <c r="T263" s="3">
        <f t="shared" si="9"/>
        <v>-176212260</v>
      </c>
    </row>
    <row r="264" spans="1:20" x14ac:dyDescent="0.3">
      <c r="A264" s="46">
        <v>45870</v>
      </c>
      <c r="B264" s="4">
        <v>2025</v>
      </c>
      <c r="C264" s="18" t="str">
        <f t="shared" si="8"/>
        <v>Aug</v>
      </c>
      <c r="D264" s="4" t="s">
        <v>11</v>
      </c>
      <c r="E264" s="4" t="s">
        <v>18</v>
      </c>
      <c r="F264" s="4">
        <v>199</v>
      </c>
      <c r="G264" s="4" t="s">
        <v>34</v>
      </c>
      <c r="H264" t="s">
        <v>59</v>
      </c>
      <c r="I264" s="6">
        <v>140000</v>
      </c>
      <c r="J264" s="7">
        <v>0.28000000000000003</v>
      </c>
      <c r="K264" s="20">
        <v>0.18</v>
      </c>
      <c r="L264" s="19">
        <v>179200</v>
      </c>
      <c r="M264" s="6">
        <v>165200</v>
      </c>
      <c r="N264" s="19">
        <v>-14000</v>
      </c>
      <c r="O264" s="19">
        <v>6766950400</v>
      </c>
      <c r="P264" s="19">
        <v>6550196520</v>
      </c>
      <c r="Q264" s="4">
        <v>37762</v>
      </c>
      <c r="R264" s="11">
        <v>39650.1</v>
      </c>
      <c r="S264" s="12">
        <v>1888.0999999999985</v>
      </c>
      <c r="T264" s="3">
        <f t="shared" si="9"/>
        <v>-216753880</v>
      </c>
    </row>
    <row r="265" spans="1:20" x14ac:dyDescent="0.3">
      <c r="A265" s="45">
        <v>45901</v>
      </c>
      <c r="B265">
        <v>2025</v>
      </c>
      <c r="C265" s="18" t="str">
        <f t="shared" si="8"/>
        <v>Sep</v>
      </c>
      <c r="D265" t="s">
        <v>11</v>
      </c>
      <c r="E265" t="s">
        <v>18</v>
      </c>
      <c r="F265">
        <v>199</v>
      </c>
      <c r="G265" t="s">
        <v>34</v>
      </c>
      <c r="H265" t="s">
        <v>59</v>
      </c>
      <c r="I265" s="3">
        <v>140000</v>
      </c>
      <c r="J265" s="2">
        <v>0.28000000000000003</v>
      </c>
      <c r="K265" s="20">
        <v>0.18</v>
      </c>
      <c r="L265" s="19">
        <v>179200</v>
      </c>
      <c r="M265" s="3">
        <v>165200</v>
      </c>
      <c r="N265" s="19">
        <v>-14000</v>
      </c>
      <c r="O265" s="19">
        <v>4754176000</v>
      </c>
      <c r="P265" s="19">
        <v>4601893800</v>
      </c>
      <c r="Q265">
        <v>26530</v>
      </c>
      <c r="R265" s="11">
        <v>27856.5</v>
      </c>
      <c r="S265" s="12">
        <v>1326.5</v>
      </c>
      <c r="T265" s="3">
        <f t="shared" si="9"/>
        <v>-152282200</v>
      </c>
    </row>
    <row r="266" spans="1:20" x14ac:dyDescent="0.3">
      <c r="A266" s="46">
        <v>44927</v>
      </c>
      <c r="B266" s="4">
        <v>2023</v>
      </c>
      <c r="C266" s="18" t="str">
        <f t="shared" si="8"/>
        <v>Jan</v>
      </c>
      <c r="D266" s="4" t="s">
        <v>11</v>
      </c>
      <c r="E266" s="4" t="s">
        <v>19</v>
      </c>
      <c r="F266" s="4">
        <v>199</v>
      </c>
      <c r="G266" s="4" t="s">
        <v>34</v>
      </c>
      <c r="H266" t="s">
        <v>59</v>
      </c>
      <c r="I266" s="6">
        <v>165000</v>
      </c>
      <c r="J266" s="7">
        <v>0.28000000000000003</v>
      </c>
      <c r="K266" s="20">
        <v>0.18</v>
      </c>
      <c r="L266" s="19">
        <v>211200</v>
      </c>
      <c r="M266" s="6">
        <v>194700</v>
      </c>
      <c r="N266" s="19">
        <v>-16500</v>
      </c>
      <c r="O266" s="19">
        <v>4325164800</v>
      </c>
      <c r="P266" s="19">
        <v>4186624365</v>
      </c>
      <c r="Q266" s="4">
        <v>20479</v>
      </c>
      <c r="R266" s="11">
        <v>21502.95</v>
      </c>
      <c r="S266" s="12">
        <v>1023.9500000000007</v>
      </c>
      <c r="T266" s="3">
        <f t="shared" si="9"/>
        <v>-138540435</v>
      </c>
    </row>
    <row r="267" spans="1:20" x14ac:dyDescent="0.3">
      <c r="A267" s="45">
        <v>44958</v>
      </c>
      <c r="B267">
        <v>2023</v>
      </c>
      <c r="C267" s="18" t="str">
        <f t="shared" si="8"/>
        <v>Feb</v>
      </c>
      <c r="D267" t="s">
        <v>11</v>
      </c>
      <c r="E267" t="s">
        <v>19</v>
      </c>
      <c r="F267">
        <v>199</v>
      </c>
      <c r="G267" t="s">
        <v>34</v>
      </c>
      <c r="H267" t="s">
        <v>59</v>
      </c>
      <c r="I267" s="3">
        <v>165000</v>
      </c>
      <c r="J267" s="2">
        <v>0.28000000000000003</v>
      </c>
      <c r="K267" s="20">
        <v>0.18</v>
      </c>
      <c r="L267" s="19">
        <v>211200</v>
      </c>
      <c r="M267" s="3">
        <v>194700</v>
      </c>
      <c r="N267" s="19">
        <v>-16500</v>
      </c>
      <c r="O267" s="19">
        <v>4660339200</v>
      </c>
      <c r="P267" s="19">
        <v>4511062710</v>
      </c>
      <c r="Q267">
        <v>22066</v>
      </c>
      <c r="R267" s="11">
        <v>23169.3</v>
      </c>
      <c r="S267" s="12">
        <v>1103.2999999999993</v>
      </c>
      <c r="T267" s="3">
        <f t="shared" si="9"/>
        <v>-149276490</v>
      </c>
    </row>
    <row r="268" spans="1:20" x14ac:dyDescent="0.3">
      <c r="A268" s="46">
        <v>44986</v>
      </c>
      <c r="B268" s="4">
        <v>2023</v>
      </c>
      <c r="C268" s="18" t="str">
        <f t="shared" si="8"/>
        <v>Mar</v>
      </c>
      <c r="D268" s="4" t="s">
        <v>11</v>
      </c>
      <c r="E268" s="4" t="s">
        <v>19</v>
      </c>
      <c r="F268" s="4">
        <v>199</v>
      </c>
      <c r="G268" s="4" t="s">
        <v>34</v>
      </c>
      <c r="H268" t="s">
        <v>59</v>
      </c>
      <c r="I268" s="6">
        <v>165000</v>
      </c>
      <c r="J268" s="7">
        <v>0.28000000000000003</v>
      </c>
      <c r="K268" s="20">
        <v>0.18</v>
      </c>
      <c r="L268" s="19">
        <v>211200</v>
      </c>
      <c r="M268" s="6">
        <v>194700</v>
      </c>
      <c r="N268" s="19">
        <v>-16500</v>
      </c>
      <c r="O268" s="19">
        <v>4688428800</v>
      </c>
      <c r="P268" s="19">
        <v>4538252565</v>
      </c>
      <c r="Q268" s="4">
        <v>22199</v>
      </c>
      <c r="R268" s="11">
        <v>23308.95</v>
      </c>
      <c r="S268" s="12">
        <v>1109.9500000000007</v>
      </c>
      <c r="T268" s="3">
        <f t="shared" si="9"/>
        <v>-150176235</v>
      </c>
    </row>
    <row r="269" spans="1:20" x14ac:dyDescent="0.3">
      <c r="A269" s="45">
        <v>45017</v>
      </c>
      <c r="B269">
        <v>2023</v>
      </c>
      <c r="C269" s="18" t="str">
        <f t="shared" si="8"/>
        <v>Apr</v>
      </c>
      <c r="D269" t="s">
        <v>11</v>
      </c>
      <c r="E269" t="s">
        <v>19</v>
      </c>
      <c r="F269">
        <v>199</v>
      </c>
      <c r="G269" t="s">
        <v>34</v>
      </c>
      <c r="H269" t="s">
        <v>59</v>
      </c>
      <c r="I269" s="3">
        <v>165000</v>
      </c>
      <c r="J269" s="2">
        <v>0.28000000000000003</v>
      </c>
      <c r="K269" s="20">
        <v>0.18</v>
      </c>
      <c r="L269" s="19">
        <v>211200</v>
      </c>
      <c r="M269" s="3">
        <v>194700</v>
      </c>
      <c r="N269" s="19">
        <v>-16500</v>
      </c>
      <c r="O269" s="19">
        <v>4665830400</v>
      </c>
      <c r="P269" s="19">
        <v>4516378020</v>
      </c>
      <c r="Q269">
        <v>22092</v>
      </c>
      <c r="R269" s="11">
        <v>23196.600000000002</v>
      </c>
      <c r="S269" s="12">
        <v>1104.6000000000022</v>
      </c>
      <c r="T269" s="3">
        <f t="shared" si="9"/>
        <v>-149452380</v>
      </c>
    </row>
    <row r="270" spans="1:20" x14ac:dyDescent="0.3">
      <c r="A270" s="46">
        <v>45047</v>
      </c>
      <c r="B270" s="4">
        <v>2023</v>
      </c>
      <c r="C270" s="18" t="str">
        <f t="shared" si="8"/>
        <v>May</v>
      </c>
      <c r="D270" s="4" t="s">
        <v>11</v>
      </c>
      <c r="E270" s="4" t="s">
        <v>19</v>
      </c>
      <c r="F270" s="4">
        <v>199</v>
      </c>
      <c r="G270" s="4" t="s">
        <v>34</v>
      </c>
      <c r="H270" t="s">
        <v>59</v>
      </c>
      <c r="I270" s="6">
        <v>165000</v>
      </c>
      <c r="J270" s="7">
        <v>0.28000000000000003</v>
      </c>
      <c r="K270" s="20">
        <v>0.18</v>
      </c>
      <c r="L270" s="19">
        <v>211200</v>
      </c>
      <c r="M270" s="6">
        <v>194700</v>
      </c>
      <c r="N270" s="19">
        <v>-16500</v>
      </c>
      <c r="O270" s="19">
        <v>5383065600</v>
      </c>
      <c r="P270" s="19">
        <v>5210639280</v>
      </c>
      <c r="Q270" s="4">
        <v>25488</v>
      </c>
      <c r="R270" s="11">
        <v>26762.400000000001</v>
      </c>
      <c r="S270" s="12">
        <v>1274.4000000000015</v>
      </c>
      <c r="T270" s="3">
        <f t="shared" si="9"/>
        <v>-172426320</v>
      </c>
    </row>
    <row r="271" spans="1:20" x14ac:dyDescent="0.3">
      <c r="A271" s="45">
        <v>45078</v>
      </c>
      <c r="B271">
        <v>2023</v>
      </c>
      <c r="C271" s="18" t="str">
        <f t="shared" si="8"/>
        <v>Jun</v>
      </c>
      <c r="D271" t="s">
        <v>11</v>
      </c>
      <c r="E271" t="s">
        <v>19</v>
      </c>
      <c r="F271">
        <v>199</v>
      </c>
      <c r="G271" t="s">
        <v>34</v>
      </c>
      <c r="H271" t="s">
        <v>59</v>
      </c>
      <c r="I271" s="3">
        <v>165000</v>
      </c>
      <c r="J271" s="2">
        <v>0.28000000000000003</v>
      </c>
      <c r="K271" s="20">
        <v>0.18</v>
      </c>
      <c r="L271" s="19">
        <v>211200</v>
      </c>
      <c r="M271" s="3">
        <v>194700</v>
      </c>
      <c r="N271" s="19">
        <v>-16500</v>
      </c>
      <c r="O271" s="19">
        <v>3937190400</v>
      </c>
      <c r="P271" s="19">
        <v>3811077270.0000005</v>
      </c>
      <c r="Q271">
        <v>18642</v>
      </c>
      <c r="R271" s="11">
        <v>19574.100000000002</v>
      </c>
      <c r="S271" s="12">
        <v>932.10000000000218</v>
      </c>
      <c r="T271" s="3">
        <f t="shared" si="9"/>
        <v>-126113129.99999952</v>
      </c>
    </row>
    <row r="272" spans="1:20" x14ac:dyDescent="0.3">
      <c r="A272" s="46">
        <v>45108</v>
      </c>
      <c r="B272" s="4">
        <v>2023</v>
      </c>
      <c r="C272" s="18" t="str">
        <f t="shared" si="8"/>
        <v>Jul</v>
      </c>
      <c r="D272" s="4" t="s">
        <v>11</v>
      </c>
      <c r="E272" s="4" t="s">
        <v>19</v>
      </c>
      <c r="F272" s="4">
        <v>199</v>
      </c>
      <c r="G272" s="4" t="s">
        <v>34</v>
      </c>
      <c r="H272" t="s">
        <v>59</v>
      </c>
      <c r="I272" s="6">
        <v>165000</v>
      </c>
      <c r="J272" s="7">
        <v>0.28000000000000003</v>
      </c>
      <c r="K272" s="20">
        <v>0.18</v>
      </c>
      <c r="L272" s="19">
        <v>211200</v>
      </c>
      <c r="M272" s="6">
        <v>194700</v>
      </c>
      <c r="N272" s="19">
        <v>-16500</v>
      </c>
      <c r="O272" s="19">
        <v>3450374400</v>
      </c>
      <c r="P272" s="19">
        <v>3339854595.0000005</v>
      </c>
      <c r="Q272" s="4">
        <v>16337</v>
      </c>
      <c r="R272" s="11">
        <v>17153.850000000002</v>
      </c>
      <c r="S272" s="12">
        <v>816.85000000000218</v>
      </c>
      <c r="T272" s="3">
        <f t="shared" si="9"/>
        <v>-110519804.99999952</v>
      </c>
    </row>
    <row r="273" spans="1:20" x14ac:dyDescent="0.3">
      <c r="A273" s="45">
        <v>45139</v>
      </c>
      <c r="B273">
        <v>2023</v>
      </c>
      <c r="C273" s="18" t="str">
        <f t="shared" si="8"/>
        <v>Aug</v>
      </c>
      <c r="D273" t="s">
        <v>11</v>
      </c>
      <c r="E273" t="s">
        <v>19</v>
      </c>
      <c r="F273">
        <v>199</v>
      </c>
      <c r="G273" t="s">
        <v>34</v>
      </c>
      <c r="H273" t="s">
        <v>59</v>
      </c>
      <c r="I273" s="3">
        <v>165000</v>
      </c>
      <c r="J273" s="2">
        <v>0.28000000000000003</v>
      </c>
      <c r="K273" s="20">
        <v>0.18</v>
      </c>
      <c r="L273" s="19">
        <v>211200</v>
      </c>
      <c r="M273" s="3">
        <v>194700</v>
      </c>
      <c r="N273" s="19">
        <v>-16500</v>
      </c>
      <c r="O273" s="19">
        <v>3644889600</v>
      </c>
      <c r="P273" s="19">
        <v>3528139230.0000005</v>
      </c>
      <c r="Q273">
        <v>17258</v>
      </c>
      <c r="R273" s="11">
        <v>18120.900000000001</v>
      </c>
      <c r="S273" s="12">
        <v>862.90000000000146</v>
      </c>
      <c r="T273" s="3">
        <f t="shared" si="9"/>
        <v>-116750369.99999952</v>
      </c>
    </row>
    <row r="274" spans="1:20" x14ac:dyDescent="0.3">
      <c r="A274" s="46">
        <v>45170</v>
      </c>
      <c r="B274" s="4">
        <v>2023</v>
      </c>
      <c r="C274" s="18" t="str">
        <f t="shared" si="8"/>
        <v>Sep</v>
      </c>
      <c r="D274" s="4" t="s">
        <v>11</v>
      </c>
      <c r="E274" s="4" t="s">
        <v>19</v>
      </c>
      <c r="F274" s="4">
        <v>199</v>
      </c>
      <c r="G274" s="4" t="s">
        <v>34</v>
      </c>
      <c r="H274" t="s">
        <v>59</v>
      </c>
      <c r="I274" s="6">
        <v>165000</v>
      </c>
      <c r="J274" s="7">
        <v>0.28000000000000003</v>
      </c>
      <c r="K274" s="20">
        <v>0.18</v>
      </c>
      <c r="L274" s="19">
        <v>211200</v>
      </c>
      <c r="M274" s="6">
        <v>194700</v>
      </c>
      <c r="N274" s="19">
        <v>-16500</v>
      </c>
      <c r="O274" s="19">
        <v>3108230400</v>
      </c>
      <c r="P274" s="19">
        <v>3008669895</v>
      </c>
      <c r="Q274" s="4">
        <v>14717</v>
      </c>
      <c r="R274" s="11">
        <v>15452.85</v>
      </c>
      <c r="S274" s="12">
        <v>735.85000000000036</v>
      </c>
      <c r="T274" s="3">
        <f t="shared" si="9"/>
        <v>-99560505</v>
      </c>
    </row>
    <row r="275" spans="1:20" x14ac:dyDescent="0.3">
      <c r="A275" s="45">
        <v>45200</v>
      </c>
      <c r="B275">
        <v>2023</v>
      </c>
      <c r="C275" s="18" t="str">
        <f t="shared" si="8"/>
        <v>Oct</v>
      </c>
      <c r="D275" t="s">
        <v>11</v>
      </c>
      <c r="E275" t="s">
        <v>19</v>
      </c>
      <c r="F275">
        <v>199</v>
      </c>
      <c r="G275" t="s">
        <v>34</v>
      </c>
      <c r="H275" t="s">
        <v>59</v>
      </c>
      <c r="I275" s="3">
        <v>165000</v>
      </c>
      <c r="J275" s="2">
        <v>0.28000000000000003</v>
      </c>
      <c r="K275" s="20">
        <v>0.18</v>
      </c>
      <c r="L275" s="19">
        <v>211200</v>
      </c>
      <c r="M275" s="3">
        <v>194700</v>
      </c>
      <c r="N275" s="19">
        <v>-16500</v>
      </c>
      <c r="O275" s="19">
        <v>3592934400</v>
      </c>
      <c r="P275" s="19">
        <v>3477848220.0000005</v>
      </c>
      <c r="Q275">
        <v>17012</v>
      </c>
      <c r="R275" s="11">
        <v>17862.600000000002</v>
      </c>
      <c r="S275" s="12">
        <v>850.60000000000218</v>
      </c>
      <c r="T275" s="3">
        <f t="shared" si="9"/>
        <v>-115086179.99999952</v>
      </c>
    </row>
    <row r="276" spans="1:20" x14ac:dyDescent="0.3">
      <c r="A276" s="46">
        <v>45231</v>
      </c>
      <c r="B276" s="4">
        <v>2023</v>
      </c>
      <c r="C276" s="18" t="str">
        <f t="shared" si="8"/>
        <v>Nov</v>
      </c>
      <c r="D276" s="4" t="s">
        <v>11</v>
      </c>
      <c r="E276" s="4" t="s">
        <v>19</v>
      </c>
      <c r="F276" s="4">
        <v>199</v>
      </c>
      <c r="G276" s="4" t="s">
        <v>34</v>
      </c>
      <c r="H276" t="s">
        <v>59</v>
      </c>
      <c r="I276" s="6">
        <v>165000</v>
      </c>
      <c r="J276" s="7">
        <v>0.28000000000000003</v>
      </c>
      <c r="K276" s="20">
        <v>0.18</v>
      </c>
      <c r="L276" s="19">
        <v>211200</v>
      </c>
      <c r="M276" s="6">
        <v>194700</v>
      </c>
      <c r="N276" s="19">
        <v>-16500</v>
      </c>
      <c r="O276" s="19">
        <v>3306336000</v>
      </c>
      <c r="P276" s="19">
        <v>3200429925</v>
      </c>
      <c r="Q276" s="4">
        <v>15655</v>
      </c>
      <c r="R276" s="11">
        <v>16437.75</v>
      </c>
      <c r="S276" s="12">
        <v>782.75</v>
      </c>
      <c r="T276" s="3">
        <f t="shared" si="9"/>
        <v>-105906075</v>
      </c>
    </row>
    <row r="277" spans="1:20" x14ac:dyDescent="0.3">
      <c r="A277" s="45">
        <v>45261</v>
      </c>
      <c r="B277">
        <v>2023</v>
      </c>
      <c r="C277" s="18" t="str">
        <f t="shared" si="8"/>
        <v>Dec</v>
      </c>
      <c r="D277" t="s">
        <v>11</v>
      </c>
      <c r="E277" t="s">
        <v>19</v>
      </c>
      <c r="F277">
        <v>199</v>
      </c>
      <c r="G277" t="s">
        <v>34</v>
      </c>
      <c r="H277" t="s">
        <v>59</v>
      </c>
      <c r="I277" s="3">
        <v>165000</v>
      </c>
      <c r="J277" s="2">
        <v>0.28000000000000003</v>
      </c>
      <c r="K277" s="20">
        <v>0.18</v>
      </c>
      <c r="L277" s="19">
        <v>211200</v>
      </c>
      <c r="M277" s="3">
        <v>194700</v>
      </c>
      <c r="N277" s="19">
        <v>-16500</v>
      </c>
      <c r="O277" s="19">
        <v>4475961600</v>
      </c>
      <c r="P277" s="19">
        <v>4332590955</v>
      </c>
      <c r="Q277">
        <v>21193</v>
      </c>
      <c r="R277" s="11">
        <v>22252.65</v>
      </c>
      <c r="S277" s="12">
        <v>1059.6500000000015</v>
      </c>
      <c r="T277" s="3">
        <f t="shared" si="9"/>
        <v>-143370645</v>
      </c>
    </row>
    <row r="278" spans="1:20" x14ac:dyDescent="0.3">
      <c r="A278" s="46">
        <v>45292</v>
      </c>
      <c r="B278" s="4">
        <v>2024</v>
      </c>
      <c r="C278" s="18" t="str">
        <f t="shared" si="8"/>
        <v>Jan</v>
      </c>
      <c r="D278" s="4" t="s">
        <v>11</v>
      </c>
      <c r="E278" s="4" t="s">
        <v>19</v>
      </c>
      <c r="F278" s="4">
        <v>199</v>
      </c>
      <c r="G278" s="4" t="s">
        <v>34</v>
      </c>
      <c r="H278" t="s">
        <v>59</v>
      </c>
      <c r="I278" s="6">
        <v>165000</v>
      </c>
      <c r="J278" s="7">
        <v>0.28000000000000003</v>
      </c>
      <c r="K278" s="20">
        <v>0.18</v>
      </c>
      <c r="L278" s="19">
        <v>211200</v>
      </c>
      <c r="M278" s="6">
        <v>194700</v>
      </c>
      <c r="N278" s="19">
        <v>-16500</v>
      </c>
      <c r="O278" s="19">
        <v>4897305600</v>
      </c>
      <c r="P278" s="19">
        <v>4740438780</v>
      </c>
      <c r="Q278" s="4">
        <v>23188</v>
      </c>
      <c r="R278" s="11">
        <v>24347.4</v>
      </c>
      <c r="S278" s="12">
        <v>1159.4000000000015</v>
      </c>
      <c r="T278" s="3">
        <f t="shared" si="9"/>
        <v>-156866820</v>
      </c>
    </row>
    <row r="279" spans="1:20" x14ac:dyDescent="0.3">
      <c r="A279" s="45">
        <v>45323</v>
      </c>
      <c r="B279">
        <v>2024</v>
      </c>
      <c r="C279" s="18" t="str">
        <f t="shared" si="8"/>
        <v>Feb</v>
      </c>
      <c r="D279" t="s">
        <v>11</v>
      </c>
      <c r="E279" t="s">
        <v>19</v>
      </c>
      <c r="F279">
        <v>199</v>
      </c>
      <c r="G279" t="s">
        <v>34</v>
      </c>
      <c r="H279" t="s">
        <v>59</v>
      </c>
      <c r="I279" s="3">
        <v>165000</v>
      </c>
      <c r="J279" s="2">
        <v>0.28000000000000003</v>
      </c>
      <c r="K279" s="20">
        <v>0.18</v>
      </c>
      <c r="L279" s="19">
        <v>211200</v>
      </c>
      <c r="M279" s="3">
        <v>194700</v>
      </c>
      <c r="N279" s="19">
        <v>-16500</v>
      </c>
      <c r="O279" s="19">
        <v>5696908800</v>
      </c>
      <c r="P279" s="19">
        <v>5514429690</v>
      </c>
      <c r="Q279">
        <v>26974</v>
      </c>
      <c r="R279" s="11">
        <v>28322.7</v>
      </c>
      <c r="S279" s="12">
        <v>1348.7000000000007</v>
      </c>
      <c r="T279" s="3">
        <f t="shared" si="9"/>
        <v>-182479110</v>
      </c>
    </row>
    <row r="280" spans="1:20" x14ac:dyDescent="0.3">
      <c r="A280" s="46">
        <v>45352</v>
      </c>
      <c r="B280" s="4">
        <v>2024</v>
      </c>
      <c r="C280" s="18" t="str">
        <f t="shared" si="8"/>
        <v>Mar</v>
      </c>
      <c r="D280" s="4" t="s">
        <v>11</v>
      </c>
      <c r="E280" s="4" t="s">
        <v>19</v>
      </c>
      <c r="F280" s="4">
        <v>199</v>
      </c>
      <c r="G280" s="4" t="s">
        <v>34</v>
      </c>
      <c r="H280" t="s">
        <v>59</v>
      </c>
      <c r="I280" s="6">
        <v>165000</v>
      </c>
      <c r="J280" s="7">
        <v>0.28000000000000003</v>
      </c>
      <c r="K280" s="20">
        <v>0.18</v>
      </c>
      <c r="L280" s="19">
        <v>211200</v>
      </c>
      <c r="M280" s="6">
        <v>194700</v>
      </c>
      <c r="N280" s="19">
        <v>-16500</v>
      </c>
      <c r="O280" s="19">
        <v>5074502400</v>
      </c>
      <c r="P280" s="19">
        <v>4911959745</v>
      </c>
      <c r="Q280" s="4">
        <v>24027</v>
      </c>
      <c r="R280" s="11">
        <v>25228.350000000002</v>
      </c>
      <c r="S280" s="12">
        <v>1201.3500000000022</v>
      </c>
      <c r="T280" s="3">
        <f t="shared" si="9"/>
        <v>-162542655</v>
      </c>
    </row>
    <row r="281" spans="1:20" x14ac:dyDescent="0.3">
      <c r="A281" s="45">
        <v>45383</v>
      </c>
      <c r="B281">
        <v>2024</v>
      </c>
      <c r="C281" s="18" t="str">
        <f t="shared" si="8"/>
        <v>Apr</v>
      </c>
      <c r="D281" t="s">
        <v>11</v>
      </c>
      <c r="E281" t="s">
        <v>19</v>
      </c>
      <c r="F281">
        <v>199</v>
      </c>
      <c r="G281" t="s">
        <v>34</v>
      </c>
      <c r="H281" t="s">
        <v>59</v>
      </c>
      <c r="I281" s="3">
        <v>165000</v>
      </c>
      <c r="J281" s="2">
        <v>0.28000000000000003</v>
      </c>
      <c r="K281" s="20">
        <v>0.18</v>
      </c>
      <c r="L281" s="19">
        <v>211200</v>
      </c>
      <c r="M281" s="3">
        <v>194700</v>
      </c>
      <c r="N281" s="19">
        <v>-16500</v>
      </c>
      <c r="O281" s="19">
        <v>5382432000</v>
      </c>
      <c r="P281" s="19">
        <v>5210025975</v>
      </c>
      <c r="Q281">
        <v>25485</v>
      </c>
      <c r="R281" s="11">
        <v>26759.25</v>
      </c>
      <c r="S281" s="12">
        <v>1274.25</v>
      </c>
      <c r="T281" s="3">
        <f t="shared" si="9"/>
        <v>-172406025</v>
      </c>
    </row>
    <row r="282" spans="1:20" x14ac:dyDescent="0.3">
      <c r="A282" s="46">
        <v>45413</v>
      </c>
      <c r="B282" s="4">
        <v>2024</v>
      </c>
      <c r="C282" s="18" t="str">
        <f t="shared" si="8"/>
        <v>May</v>
      </c>
      <c r="D282" s="4" t="s">
        <v>11</v>
      </c>
      <c r="E282" s="4" t="s">
        <v>19</v>
      </c>
      <c r="F282" s="4">
        <v>199</v>
      </c>
      <c r="G282" s="4" t="s">
        <v>34</v>
      </c>
      <c r="H282" t="s">
        <v>59</v>
      </c>
      <c r="I282" s="6">
        <v>165000</v>
      </c>
      <c r="J282" s="7">
        <v>0.28000000000000003</v>
      </c>
      <c r="K282" s="20">
        <v>0.18</v>
      </c>
      <c r="L282" s="19">
        <v>211200</v>
      </c>
      <c r="M282" s="6">
        <v>194700</v>
      </c>
      <c r="N282" s="19">
        <v>-16500</v>
      </c>
      <c r="O282" s="19">
        <v>4157472000</v>
      </c>
      <c r="P282" s="19">
        <v>4024302975</v>
      </c>
      <c r="Q282" s="4">
        <v>19685</v>
      </c>
      <c r="R282" s="11">
        <v>20669.25</v>
      </c>
      <c r="S282" s="12">
        <v>984.25</v>
      </c>
      <c r="T282" s="3">
        <f t="shared" si="9"/>
        <v>-133169025</v>
      </c>
    </row>
    <row r="283" spans="1:20" x14ac:dyDescent="0.3">
      <c r="A283" s="45">
        <v>45444</v>
      </c>
      <c r="B283">
        <v>2024</v>
      </c>
      <c r="C283" s="18" t="str">
        <f t="shared" si="8"/>
        <v>Jun</v>
      </c>
      <c r="D283" t="s">
        <v>11</v>
      </c>
      <c r="E283" t="s">
        <v>19</v>
      </c>
      <c r="F283">
        <v>199</v>
      </c>
      <c r="G283" t="s">
        <v>34</v>
      </c>
      <c r="H283" t="s">
        <v>59</v>
      </c>
      <c r="I283" s="3">
        <v>165000</v>
      </c>
      <c r="J283" s="2">
        <v>0.28000000000000003</v>
      </c>
      <c r="K283" s="20">
        <v>0.18</v>
      </c>
      <c r="L283" s="19">
        <v>211200</v>
      </c>
      <c r="M283" s="3">
        <v>194700</v>
      </c>
      <c r="N283" s="19">
        <v>-16500</v>
      </c>
      <c r="O283" s="19">
        <v>4867737600</v>
      </c>
      <c r="P283" s="19">
        <v>4711817880</v>
      </c>
      <c r="Q283">
        <v>23048</v>
      </c>
      <c r="R283" s="11">
        <v>24200.400000000001</v>
      </c>
      <c r="S283" s="12">
        <v>1152.4000000000015</v>
      </c>
      <c r="T283" s="3">
        <f t="shared" si="9"/>
        <v>-155919720</v>
      </c>
    </row>
    <row r="284" spans="1:20" x14ac:dyDescent="0.3">
      <c r="A284" s="46">
        <v>45474</v>
      </c>
      <c r="B284" s="4">
        <v>2024</v>
      </c>
      <c r="C284" s="18" t="str">
        <f t="shared" si="8"/>
        <v>Jul</v>
      </c>
      <c r="D284" s="4" t="s">
        <v>11</v>
      </c>
      <c r="E284" s="4" t="s">
        <v>19</v>
      </c>
      <c r="F284" s="4">
        <v>199</v>
      </c>
      <c r="G284" s="4" t="s">
        <v>34</v>
      </c>
      <c r="H284" t="s">
        <v>59</v>
      </c>
      <c r="I284" s="6">
        <v>165000</v>
      </c>
      <c r="J284" s="7">
        <v>0.28000000000000003</v>
      </c>
      <c r="K284" s="20">
        <v>0.18</v>
      </c>
      <c r="L284" s="19">
        <v>211200</v>
      </c>
      <c r="M284" s="6">
        <v>194700</v>
      </c>
      <c r="N284" s="19">
        <v>-16500</v>
      </c>
      <c r="O284" s="19">
        <v>4060531200</v>
      </c>
      <c r="P284" s="19">
        <v>3930467310</v>
      </c>
      <c r="Q284" s="4">
        <v>19226</v>
      </c>
      <c r="R284" s="11">
        <v>20187.3</v>
      </c>
      <c r="S284" s="12">
        <v>961.29999999999927</v>
      </c>
      <c r="T284" s="3">
        <f t="shared" si="9"/>
        <v>-130063890</v>
      </c>
    </row>
    <row r="285" spans="1:20" x14ac:dyDescent="0.3">
      <c r="A285" s="45">
        <v>45505</v>
      </c>
      <c r="B285">
        <v>2024</v>
      </c>
      <c r="C285" s="18" t="str">
        <f t="shared" si="8"/>
        <v>Aug</v>
      </c>
      <c r="D285" t="s">
        <v>11</v>
      </c>
      <c r="E285" t="s">
        <v>19</v>
      </c>
      <c r="F285">
        <v>199</v>
      </c>
      <c r="G285" t="s">
        <v>34</v>
      </c>
      <c r="H285" t="s">
        <v>59</v>
      </c>
      <c r="I285" s="3">
        <v>165000</v>
      </c>
      <c r="J285" s="2">
        <v>0.28000000000000003</v>
      </c>
      <c r="K285" s="20">
        <v>0.18</v>
      </c>
      <c r="L285" s="19">
        <v>211200</v>
      </c>
      <c r="M285" s="3">
        <v>194700</v>
      </c>
      <c r="N285" s="19">
        <v>-16500</v>
      </c>
      <c r="O285" s="19">
        <v>3522182400</v>
      </c>
      <c r="P285" s="19">
        <v>3409362495.0000005</v>
      </c>
      <c r="Q285">
        <v>16677</v>
      </c>
      <c r="R285" s="11">
        <v>17510.850000000002</v>
      </c>
      <c r="S285" s="12">
        <v>833.85000000000218</v>
      </c>
      <c r="T285" s="3">
        <f t="shared" si="9"/>
        <v>-112819904.99999952</v>
      </c>
    </row>
    <row r="286" spans="1:20" x14ac:dyDescent="0.3">
      <c r="A286" s="46">
        <v>45536</v>
      </c>
      <c r="B286" s="4">
        <v>2024</v>
      </c>
      <c r="C286" s="18" t="str">
        <f t="shared" si="8"/>
        <v>Sep</v>
      </c>
      <c r="D286" s="4" t="s">
        <v>11</v>
      </c>
      <c r="E286" s="4" t="s">
        <v>19</v>
      </c>
      <c r="F286" s="4">
        <v>199</v>
      </c>
      <c r="G286" s="4" t="s">
        <v>34</v>
      </c>
      <c r="H286" t="s">
        <v>59</v>
      </c>
      <c r="I286" s="6">
        <v>165000</v>
      </c>
      <c r="J286" s="7">
        <v>0.28000000000000003</v>
      </c>
      <c r="K286" s="20">
        <v>0.18</v>
      </c>
      <c r="L286" s="19">
        <v>211200</v>
      </c>
      <c r="M286" s="6">
        <v>194700</v>
      </c>
      <c r="N286" s="19">
        <v>-16500</v>
      </c>
      <c r="O286" s="19">
        <v>3345408000</v>
      </c>
      <c r="P286" s="19">
        <v>3238250400</v>
      </c>
      <c r="Q286" s="4">
        <v>15840</v>
      </c>
      <c r="R286" s="11">
        <v>16632</v>
      </c>
      <c r="S286" s="12">
        <v>792</v>
      </c>
      <c r="T286" s="3">
        <f t="shared" si="9"/>
        <v>-107157600</v>
      </c>
    </row>
    <row r="287" spans="1:20" x14ac:dyDescent="0.3">
      <c r="A287" s="45">
        <v>45566</v>
      </c>
      <c r="B287">
        <v>2024</v>
      </c>
      <c r="C287" s="18" t="str">
        <f t="shared" si="8"/>
        <v>Oct</v>
      </c>
      <c r="D287" t="s">
        <v>11</v>
      </c>
      <c r="E287" t="s">
        <v>19</v>
      </c>
      <c r="F287">
        <v>199</v>
      </c>
      <c r="G287" t="s">
        <v>34</v>
      </c>
      <c r="H287" t="s">
        <v>59</v>
      </c>
      <c r="I287" s="3">
        <v>165000</v>
      </c>
      <c r="J287" s="2">
        <v>0.28000000000000003</v>
      </c>
      <c r="K287" s="20">
        <v>0.18</v>
      </c>
      <c r="L287" s="19">
        <v>211200</v>
      </c>
      <c r="M287" s="3">
        <v>194700</v>
      </c>
      <c r="N287" s="19">
        <v>-16500</v>
      </c>
      <c r="O287" s="19">
        <v>3390604800</v>
      </c>
      <c r="P287" s="19">
        <v>3281999490</v>
      </c>
      <c r="Q287">
        <v>16054</v>
      </c>
      <c r="R287" s="11">
        <v>16856.7</v>
      </c>
      <c r="S287" s="12">
        <v>802.70000000000073</v>
      </c>
      <c r="T287" s="3">
        <f t="shared" si="9"/>
        <v>-108605310</v>
      </c>
    </row>
    <row r="288" spans="1:20" x14ac:dyDescent="0.3">
      <c r="A288" s="46">
        <v>45597</v>
      </c>
      <c r="B288" s="4">
        <v>2024</v>
      </c>
      <c r="C288" s="18" t="str">
        <f t="shared" si="8"/>
        <v>Nov</v>
      </c>
      <c r="D288" s="4" t="s">
        <v>11</v>
      </c>
      <c r="E288" s="4" t="s">
        <v>19</v>
      </c>
      <c r="F288" s="4">
        <v>199</v>
      </c>
      <c r="G288" s="4" t="s">
        <v>34</v>
      </c>
      <c r="H288" t="s">
        <v>59</v>
      </c>
      <c r="I288" s="6">
        <v>165000</v>
      </c>
      <c r="J288" s="7">
        <v>0.28000000000000003</v>
      </c>
      <c r="K288" s="20">
        <v>0.18</v>
      </c>
      <c r="L288" s="19">
        <v>211200</v>
      </c>
      <c r="M288" s="6">
        <v>194700</v>
      </c>
      <c r="N288" s="19">
        <v>-16500</v>
      </c>
      <c r="O288" s="19">
        <v>3879321600</v>
      </c>
      <c r="P288" s="19">
        <v>3755062080.0000005</v>
      </c>
      <c r="Q288" s="4">
        <v>18368</v>
      </c>
      <c r="R288" s="11">
        <v>19286.400000000001</v>
      </c>
      <c r="S288" s="12">
        <v>918.40000000000146</v>
      </c>
      <c r="T288" s="3">
        <f t="shared" si="9"/>
        <v>-124259519.99999952</v>
      </c>
    </row>
    <row r="289" spans="1:20" x14ac:dyDescent="0.3">
      <c r="A289" s="45">
        <v>45627</v>
      </c>
      <c r="B289">
        <v>2024</v>
      </c>
      <c r="C289" s="18" t="str">
        <f t="shared" si="8"/>
        <v>Dec</v>
      </c>
      <c r="D289" t="s">
        <v>11</v>
      </c>
      <c r="E289" t="s">
        <v>19</v>
      </c>
      <c r="F289">
        <v>199</v>
      </c>
      <c r="G289" t="s">
        <v>34</v>
      </c>
      <c r="H289" t="s">
        <v>59</v>
      </c>
      <c r="I289" s="3">
        <v>165000</v>
      </c>
      <c r="J289" s="2">
        <v>0.28000000000000003</v>
      </c>
      <c r="K289" s="20">
        <v>0.18</v>
      </c>
      <c r="L289" s="19">
        <v>211200</v>
      </c>
      <c r="M289" s="3">
        <v>194700</v>
      </c>
      <c r="N289" s="19">
        <v>-16500</v>
      </c>
      <c r="O289" s="19">
        <v>4528550400</v>
      </c>
      <c r="P289" s="19">
        <v>4383495270</v>
      </c>
      <c r="Q289">
        <v>21442</v>
      </c>
      <c r="R289" s="11">
        <v>22514.100000000002</v>
      </c>
      <c r="S289" s="12">
        <v>1072.1000000000022</v>
      </c>
      <c r="T289" s="3">
        <f t="shared" si="9"/>
        <v>-145055130</v>
      </c>
    </row>
    <row r="290" spans="1:20" x14ac:dyDescent="0.3">
      <c r="A290" s="46">
        <v>45658</v>
      </c>
      <c r="B290" s="4">
        <v>2025</v>
      </c>
      <c r="C290" s="18" t="str">
        <f t="shared" si="8"/>
        <v>Jan</v>
      </c>
      <c r="D290" s="4" t="s">
        <v>11</v>
      </c>
      <c r="E290" s="4" t="s">
        <v>19</v>
      </c>
      <c r="F290" s="4">
        <v>199</v>
      </c>
      <c r="G290" s="4" t="s">
        <v>34</v>
      </c>
      <c r="H290" t="s">
        <v>59</v>
      </c>
      <c r="I290" s="6">
        <v>165000</v>
      </c>
      <c r="J290" s="7">
        <v>0.28000000000000003</v>
      </c>
      <c r="K290" s="20">
        <v>0.18</v>
      </c>
      <c r="L290" s="19">
        <v>211200</v>
      </c>
      <c r="M290" s="6">
        <v>194700</v>
      </c>
      <c r="N290" s="19">
        <v>-16500</v>
      </c>
      <c r="O290" s="19">
        <v>4501728000</v>
      </c>
      <c r="P290" s="19">
        <v>4357532025</v>
      </c>
      <c r="Q290" s="4">
        <v>21315</v>
      </c>
      <c r="R290" s="11">
        <v>22380.75</v>
      </c>
      <c r="S290" s="12">
        <v>1065.75</v>
      </c>
      <c r="T290" s="3">
        <f t="shared" si="9"/>
        <v>-144195975</v>
      </c>
    </row>
    <row r="291" spans="1:20" x14ac:dyDescent="0.3">
      <c r="A291" s="45">
        <v>45689</v>
      </c>
      <c r="B291">
        <v>2025</v>
      </c>
      <c r="C291" s="18" t="str">
        <f t="shared" si="8"/>
        <v>Feb</v>
      </c>
      <c r="D291" t="s">
        <v>11</v>
      </c>
      <c r="E291" t="s">
        <v>19</v>
      </c>
      <c r="F291">
        <v>199</v>
      </c>
      <c r="G291" t="s">
        <v>34</v>
      </c>
      <c r="H291" t="s">
        <v>59</v>
      </c>
      <c r="I291" s="3">
        <v>165000</v>
      </c>
      <c r="J291" s="2">
        <v>0.28000000000000003</v>
      </c>
      <c r="K291" s="20">
        <v>0.18</v>
      </c>
      <c r="L291" s="19">
        <v>211200</v>
      </c>
      <c r="M291" s="3">
        <v>194700</v>
      </c>
      <c r="N291" s="19">
        <v>-16500</v>
      </c>
      <c r="O291" s="19">
        <v>5767238400</v>
      </c>
      <c r="P291" s="19">
        <v>5582506545</v>
      </c>
      <c r="Q291">
        <v>27307</v>
      </c>
      <c r="R291" s="11">
        <v>28672.350000000002</v>
      </c>
      <c r="S291" s="12">
        <v>1365.3500000000022</v>
      </c>
      <c r="T291" s="3">
        <f t="shared" si="9"/>
        <v>-184731855</v>
      </c>
    </row>
    <row r="292" spans="1:20" x14ac:dyDescent="0.3">
      <c r="A292" s="46">
        <v>45717</v>
      </c>
      <c r="B292" s="4">
        <v>2025</v>
      </c>
      <c r="C292" s="18" t="str">
        <f t="shared" si="8"/>
        <v>Mar</v>
      </c>
      <c r="D292" s="4" t="s">
        <v>11</v>
      </c>
      <c r="E292" s="4" t="s">
        <v>19</v>
      </c>
      <c r="F292" s="4">
        <v>199</v>
      </c>
      <c r="G292" s="4" t="s">
        <v>34</v>
      </c>
      <c r="H292" t="s">
        <v>59</v>
      </c>
      <c r="I292" s="6">
        <v>165000</v>
      </c>
      <c r="J292" s="7">
        <v>0.28000000000000003</v>
      </c>
      <c r="K292" s="20">
        <v>0.18</v>
      </c>
      <c r="L292" s="19">
        <v>211200</v>
      </c>
      <c r="M292" s="6">
        <v>194700</v>
      </c>
      <c r="N292" s="19">
        <v>-16500</v>
      </c>
      <c r="O292" s="19">
        <v>4199289600</v>
      </c>
      <c r="P292" s="19">
        <v>4064781105.0000005</v>
      </c>
      <c r="Q292" s="4">
        <v>19883</v>
      </c>
      <c r="R292" s="11">
        <v>20877.150000000001</v>
      </c>
      <c r="S292" s="12">
        <v>994.15000000000146</v>
      </c>
      <c r="T292" s="3">
        <f t="shared" si="9"/>
        <v>-134508494.99999952</v>
      </c>
    </row>
    <row r="293" spans="1:20" x14ac:dyDescent="0.3">
      <c r="A293" s="45">
        <v>45748</v>
      </c>
      <c r="B293">
        <v>2025</v>
      </c>
      <c r="C293" s="18" t="str">
        <f t="shared" si="8"/>
        <v>Apr</v>
      </c>
      <c r="D293" t="s">
        <v>11</v>
      </c>
      <c r="E293" t="s">
        <v>19</v>
      </c>
      <c r="F293">
        <v>199</v>
      </c>
      <c r="G293" t="s">
        <v>34</v>
      </c>
      <c r="H293" t="s">
        <v>59</v>
      </c>
      <c r="I293" s="3">
        <v>165000</v>
      </c>
      <c r="J293" s="2">
        <v>0.28000000000000003</v>
      </c>
      <c r="K293" s="20">
        <v>0.18</v>
      </c>
      <c r="L293" s="19">
        <v>211200</v>
      </c>
      <c r="M293" s="3">
        <v>194700</v>
      </c>
      <c r="N293" s="19">
        <v>-16500</v>
      </c>
      <c r="O293" s="19">
        <v>4296019200</v>
      </c>
      <c r="P293" s="19">
        <v>4158412335</v>
      </c>
      <c r="Q293">
        <v>20341</v>
      </c>
      <c r="R293" s="11">
        <v>21358.05</v>
      </c>
      <c r="S293" s="12">
        <v>1017.0499999999993</v>
      </c>
      <c r="T293" s="3">
        <f t="shared" si="9"/>
        <v>-137606865</v>
      </c>
    </row>
    <row r="294" spans="1:20" x14ac:dyDescent="0.3">
      <c r="A294" s="46">
        <v>45778</v>
      </c>
      <c r="B294" s="4">
        <v>2025</v>
      </c>
      <c r="C294" s="18" t="str">
        <f t="shared" si="8"/>
        <v>May</v>
      </c>
      <c r="D294" s="4" t="s">
        <v>11</v>
      </c>
      <c r="E294" s="4" t="s">
        <v>19</v>
      </c>
      <c r="F294" s="4">
        <v>199</v>
      </c>
      <c r="G294" s="4" t="s">
        <v>34</v>
      </c>
      <c r="H294" t="s">
        <v>59</v>
      </c>
      <c r="I294" s="6">
        <v>165000</v>
      </c>
      <c r="J294" s="7">
        <v>0.28000000000000003</v>
      </c>
      <c r="K294" s="20">
        <v>0.18</v>
      </c>
      <c r="L294" s="19">
        <v>211200</v>
      </c>
      <c r="M294" s="6">
        <v>194700</v>
      </c>
      <c r="N294" s="19">
        <v>-16500</v>
      </c>
      <c r="O294" s="19">
        <v>3987244800</v>
      </c>
      <c r="P294" s="19">
        <v>3859528365</v>
      </c>
      <c r="Q294" s="4">
        <v>18879</v>
      </c>
      <c r="R294" s="11">
        <v>19822.95</v>
      </c>
      <c r="S294" s="12">
        <v>943.95000000000073</v>
      </c>
      <c r="T294" s="3">
        <f t="shared" si="9"/>
        <v>-127716435</v>
      </c>
    </row>
    <row r="295" spans="1:20" x14ac:dyDescent="0.3">
      <c r="A295" s="45">
        <v>45809</v>
      </c>
      <c r="B295">
        <v>2025</v>
      </c>
      <c r="C295" s="18" t="str">
        <f t="shared" si="8"/>
        <v>Jun</v>
      </c>
      <c r="D295" t="s">
        <v>11</v>
      </c>
      <c r="E295" t="s">
        <v>19</v>
      </c>
      <c r="F295">
        <v>199</v>
      </c>
      <c r="G295" t="s">
        <v>34</v>
      </c>
      <c r="H295" t="s">
        <v>59</v>
      </c>
      <c r="I295" s="3">
        <v>165000</v>
      </c>
      <c r="J295" s="2">
        <v>0.28000000000000003</v>
      </c>
      <c r="K295" s="20">
        <v>0.18</v>
      </c>
      <c r="L295" s="19">
        <v>211200</v>
      </c>
      <c r="M295" s="3">
        <v>194700</v>
      </c>
      <c r="N295" s="19">
        <v>-16500</v>
      </c>
      <c r="O295" s="19">
        <v>4405843200</v>
      </c>
      <c r="P295" s="19">
        <v>4264718535</v>
      </c>
      <c r="Q295">
        <v>20861</v>
      </c>
      <c r="R295" s="11">
        <v>21904.05</v>
      </c>
      <c r="S295" s="12">
        <v>1043.0499999999993</v>
      </c>
      <c r="T295" s="3">
        <f t="shared" si="9"/>
        <v>-141124665</v>
      </c>
    </row>
    <row r="296" spans="1:20" x14ac:dyDescent="0.3">
      <c r="A296" s="46">
        <v>45839</v>
      </c>
      <c r="B296" s="4">
        <v>2025</v>
      </c>
      <c r="C296" s="18" t="str">
        <f t="shared" si="8"/>
        <v>Jul</v>
      </c>
      <c r="D296" s="4" t="s">
        <v>11</v>
      </c>
      <c r="E296" s="4" t="s">
        <v>19</v>
      </c>
      <c r="F296" s="4">
        <v>199</v>
      </c>
      <c r="G296" s="4" t="s">
        <v>34</v>
      </c>
      <c r="H296" t="s">
        <v>59</v>
      </c>
      <c r="I296" s="6">
        <v>165000</v>
      </c>
      <c r="J296" s="7">
        <v>0.28000000000000003</v>
      </c>
      <c r="K296" s="20">
        <v>0.18</v>
      </c>
      <c r="L296" s="19">
        <v>211200</v>
      </c>
      <c r="M296" s="6">
        <v>194700</v>
      </c>
      <c r="N296" s="19">
        <v>-16500</v>
      </c>
      <c r="O296" s="19">
        <v>3235584000</v>
      </c>
      <c r="P296" s="19">
        <v>3131944200</v>
      </c>
      <c r="Q296" s="4">
        <v>15320</v>
      </c>
      <c r="R296" s="11">
        <v>16086</v>
      </c>
      <c r="S296" s="12">
        <v>766</v>
      </c>
      <c r="T296" s="3">
        <f t="shared" si="9"/>
        <v>-103639800</v>
      </c>
    </row>
    <row r="297" spans="1:20" x14ac:dyDescent="0.3">
      <c r="A297" s="45">
        <v>45870</v>
      </c>
      <c r="B297">
        <v>2025</v>
      </c>
      <c r="C297" s="18" t="str">
        <f t="shared" si="8"/>
        <v>Aug</v>
      </c>
      <c r="D297" t="s">
        <v>11</v>
      </c>
      <c r="E297" t="s">
        <v>19</v>
      </c>
      <c r="F297">
        <v>199</v>
      </c>
      <c r="G297" t="s">
        <v>34</v>
      </c>
      <c r="H297" t="s">
        <v>59</v>
      </c>
      <c r="I297" s="3">
        <v>165000</v>
      </c>
      <c r="J297" s="2">
        <v>0.28000000000000003</v>
      </c>
      <c r="K297" s="20">
        <v>0.18</v>
      </c>
      <c r="L297" s="19">
        <v>211200</v>
      </c>
      <c r="M297" s="3">
        <v>194700</v>
      </c>
      <c r="N297" s="19">
        <v>-16500</v>
      </c>
      <c r="O297" s="19">
        <v>3798220800</v>
      </c>
      <c r="P297" s="19">
        <v>3676559040</v>
      </c>
      <c r="Q297">
        <v>17984</v>
      </c>
      <c r="R297" s="11">
        <v>18883.2</v>
      </c>
      <c r="S297" s="12">
        <v>899.20000000000073</v>
      </c>
      <c r="T297" s="3">
        <f t="shared" si="9"/>
        <v>-121661760</v>
      </c>
    </row>
    <row r="298" spans="1:20" x14ac:dyDescent="0.3">
      <c r="A298" s="46">
        <v>45901</v>
      </c>
      <c r="B298" s="4">
        <v>2025</v>
      </c>
      <c r="C298" s="18" t="str">
        <f t="shared" si="8"/>
        <v>Sep</v>
      </c>
      <c r="D298" s="4" t="s">
        <v>11</v>
      </c>
      <c r="E298" s="4" t="s">
        <v>19</v>
      </c>
      <c r="F298" s="4">
        <v>199</v>
      </c>
      <c r="G298" s="4" t="s">
        <v>34</v>
      </c>
      <c r="H298" t="s">
        <v>59</v>
      </c>
      <c r="I298" s="6">
        <v>165000</v>
      </c>
      <c r="J298" s="7">
        <v>0.28000000000000003</v>
      </c>
      <c r="K298" s="20">
        <v>0.18</v>
      </c>
      <c r="L298" s="19">
        <v>211200</v>
      </c>
      <c r="M298" s="6">
        <v>194700</v>
      </c>
      <c r="N298" s="19">
        <v>-16500</v>
      </c>
      <c r="O298" s="19">
        <v>3184262400</v>
      </c>
      <c r="P298" s="19">
        <v>3082266495</v>
      </c>
      <c r="Q298" s="4">
        <v>15077</v>
      </c>
      <c r="R298" s="11">
        <v>15830.85</v>
      </c>
      <c r="S298" s="12">
        <v>753.85000000000036</v>
      </c>
      <c r="T298" s="3">
        <f t="shared" si="9"/>
        <v>-101995905</v>
      </c>
    </row>
    <row r="299" spans="1:20" x14ac:dyDescent="0.3">
      <c r="A299" s="45">
        <v>44927</v>
      </c>
      <c r="B299">
        <v>2023</v>
      </c>
      <c r="C299" s="18" t="str">
        <f t="shared" si="8"/>
        <v>Jan</v>
      </c>
      <c r="D299" t="s">
        <v>11</v>
      </c>
      <c r="E299" t="s">
        <v>20</v>
      </c>
      <c r="F299">
        <v>220</v>
      </c>
      <c r="G299" t="s">
        <v>34</v>
      </c>
      <c r="H299" t="s">
        <v>59</v>
      </c>
      <c r="I299" s="3">
        <v>140000</v>
      </c>
      <c r="J299" s="2">
        <v>0.28000000000000003</v>
      </c>
      <c r="K299" s="20">
        <v>0.18</v>
      </c>
      <c r="L299" s="19">
        <v>179200</v>
      </c>
      <c r="M299" s="3">
        <v>165200</v>
      </c>
      <c r="N299" s="19">
        <v>-14000</v>
      </c>
      <c r="O299" s="19">
        <v>7121049600</v>
      </c>
      <c r="P299" s="19">
        <v>6892953480</v>
      </c>
      <c r="Q299">
        <v>39738</v>
      </c>
      <c r="R299" s="11">
        <v>41724.9</v>
      </c>
      <c r="S299" s="12">
        <v>1986.9000000000015</v>
      </c>
      <c r="T299" s="3">
        <f t="shared" si="9"/>
        <v>-228096120</v>
      </c>
    </row>
    <row r="300" spans="1:20" x14ac:dyDescent="0.3">
      <c r="A300" s="46">
        <v>44958</v>
      </c>
      <c r="B300" s="4">
        <v>2023</v>
      </c>
      <c r="C300" s="18" t="str">
        <f t="shared" si="8"/>
        <v>Feb</v>
      </c>
      <c r="D300" s="4" t="s">
        <v>11</v>
      </c>
      <c r="E300" s="4" t="s">
        <v>20</v>
      </c>
      <c r="F300" s="4">
        <v>220</v>
      </c>
      <c r="G300" s="4" t="s">
        <v>34</v>
      </c>
      <c r="H300" t="s">
        <v>59</v>
      </c>
      <c r="I300" s="6">
        <v>140000</v>
      </c>
      <c r="J300" s="7">
        <v>0.28000000000000003</v>
      </c>
      <c r="K300" s="20">
        <v>0.18</v>
      </c>
      <c r="L300" s="19">
        <v>179200</v>
      </c>
      <c r="M300" s="6">
        <v>165200</v>
      </c>
      <c r="N300" s="19">
        <v>-14000</v>
      </c>
      <c r="O300" s="19">
        <v>7988377600</v>
      </c>
      <c r="P300" s="19">
        <v>7732499880</v>
      </c>
      <c r="Q300" s="4">
        <v>44578</v>
      </c>
      <c r="R300" s="11">
        <v>46806.9</v>
      </c>
      <c r="S300" s="12">
        <v>2228.9000000000015</v>
      </c>
      <c r="T300" s="3">
        <f t="shared" si="9"/>
        <v>-255877720</v>
      </c>
    </row>
    <row r="301" spans="1:20" x14ac:dyDescent="0.3">
      <c r="A301" s="45">
        <v>44986</v>
      </c>
      <c r="B301">
        <v>2023</v>
      </c>
      <c r="C301" s="18" t="str">
        <f t="shared" si="8"/>
        <v>Mar</v>
      </c>
      <c r="D301" t="s">
        <v>11</v>
      </c>
      <c r="E301" t="s">
        <v>20</v>
      </c>
      <c r="F301">
        <v>220</v>
      </c>
      <c r="G301" t="s">
        <v>34</v>
      </c>
      <c r="H301" t="s">
        <v>59</v>
      </c>
      <c r="I301" s="3">
        <v>140000</v>
      </c>
      <c r="J301" s="2">
        <v>0.28000000000000003</v>
      </c>
      <c r="K301" s="20">
        <v>0.18</v>
      </c>
      <c r="L301" s="19">
        <v>179200</v>
      </c>
      <c r="M301" s="3">
        <v>165200</v>
      </c>
      <c r="N301" s="19">
        <v>-14000</v>
      </c>
      <c r="O301" s="19">
        <v>7508838400</v>
      </c>
      <c r="P301" s="19">
        <v>7268320920</v>
      </c>
      <c r="Q301">
        <v>41902</v>
      </c>
      <c r="R301" s="11">
        <v>43997.1</v>
      </c>
      <c r="S301" s="12">
        <v>2095.0999999999985</v>
      </c>
      <c r="T301" s="3">
        <f t="shared" si="9"/>
        <v>-240517480</v>
      </c>
    </row>
    <row r="302" spans="1:20" x14ac:dyDescent="0.3">
      <c r="A302" s="46">
        <v>45017</v>
      </c>
      <c r="B302" s="4">
        <v>2023</v>
      </c>
      <c r="C302" s="18" t="str">
        <f t="shared" si="8"/>
        <v>Apr</v>
      </c>
      <c r="D302" s="4" t="s">
        <v>11</v>
      </c>
      <c r="E302" s="4" t="s">
        <v>20</v>
      </c>
      <c r="F302" s="4">
        <v>220</v>
      </c>
      <c r="G302" s="4" t="s">
        <v>34</v>
      </c>
      <c r="H302" t="s">
        <v>59</v>
      </c>
      <c r="I302" s="6">
        <v>140000</v>
      </c>
      <c r="J302" s="7">
        <v>0.28000000000000003</v>
      </c>
      <c r="K302" s="20">
        <v>0.18</v>
      </c>
      <c r="L302" s="19">
        <v>179200</v>
      </c>
      <c r="M302" s="6">
        <v>165200</v>
      </c>
      <c r="N302" s="19">
        <v>-14000</v>
      </c>
      <c r="O302" s="19">
        <v>7705958400</v>
      </c>
      <c r="P302" s="19">
        <v>7459126920</v>
      </c>
      <c r="Q302" s="4">
        <v>43002</v>
      </c>
      <c r="R302" s="11">
        <v>45152.1</v>
      </c>
      <c r="S302" s="12">
        <v>2150.0999999999985</v>
      </c>
      <c r="T302" s="3">
        <f t="shared" si="9"/>
        <v>-246831480</v>
      </c>
    </row>
    <row r="303" spans="1:20" x14ac:dyDescent="0.3">
      <c r="A303" s="45">
        <v>45047</v>
      </c>
      <c r="B303">
        <v>2023</v>
      </c>
      <c r="C303" s="18" t="str">
        <f t="shared" si="8"/>
        <v>May</v>
      </c>
      <c r="D303" t="s">
        <v>11</v>
      </c>
      <c r="E303" t="s">
        <v>20</v>
      </c>
      <c r="F303">
        <v>220</v>
      </c>
      <c r="G303" t="s">
        <v>34</v>
      </c>
      <c r="H303" t="s">
        <v>59</v>
      </c>
      <c r="I303" s="3">
        <v>140000</v>
      </c>
      <c r="J303" s="2">
        <v>0.28000000000000003</v>
      </c>
      <c r="K303" s="20">
        <v>0.18</v>
      </c>
      <c r="L303" s="19">
        <v>179200</v>
      </c>
      <c r="M303" s="3">
        <v>165200</v>
      </c>
      <c r="N303" s="19">
        <v>-14000</v>
      </c>
      <c r="O303" s="19">
        <v>7073382400</v>
      </c>
      <c r="P303" s="19">
        <v>6846813120</v>
      </c>
      <c r="Q303">
        <v>39472</v>
      </c>
      <c r="R303" s="11">
        <v>41445.599999999999</v>
      </c>
      <c r="S303" s="12">
        <v>1973.5999999999985</v>
      </c>
      <c r="T303" s="3">
        <f t="shared" si="9"/>
        <v>-226569280</v>
      </c>
    </row>
    <row r="304" spans="1:20" x14ac:dyDescent="0.3">
      <c r="A304" s="46">
        <v>45078</v>
      </c>
      <c r="B304" s="4">
        <v>2023</v>
      </c>
      <c r="C304" s="18" t="str">
        <f t="shared" si="8"/>
        <v>Jun</v>
      </c>
      <c r="D304" s="4" t="s">
        <v>11</v>
      </c>
      <c r="E304" s="4" t="s">
        <v>20</v>
      </c>
      <c r="F304" s="4">
        <v>220</v>
      </c>
      <c r="G304" s="4" t="s">
        <v>34</v>
      </c>
      <c r="H304" t="s">
        <v>59</v>
      </c>
      <c r="I304" s="6">
        <v>140000</v>
      </c>
      <c r="J304" s="7">
        <v>0.28000000000000003</v>
      </c>
      <c r="K304" s="20">
        <v>0.18</v>
      </c>
      <c r="L304" s="19">
        <v>179200</v>
      </c>
      <c r="M304" s="6">
        <v>165200</v>
      </c>
      <c r="N304" s="19">
        <v>-14000</v>
      </c>
      <c r="O304" s="19">
        <v>7955404800</v>
      </c>
      <c r="P304" s="19">
        <v>7700583240.000001</v>
      </c>
      <c r="Q304" s="4">
        <v>44394</v>
      </c>
      <c r="R304" s="11">
        <v>46613.700000000004</v>
      </c>
      <c r="S304" s="12">
        <v>2219.7000000000044</v>
      </c>
      <c r="T304" s="3">
        <f t="shared" si="9"/>
        <v>-254821559.99999905</v>
      </c>
    </row>
    <row r="305" spans="1:20" x14ac:dyDescent="0.3">
      <c r="A305" s="45">
        <v>45108</v>
      </c>
      <c r="B305">
        <v>2023</v>
      </c>
      <c r="C305" s="18" t="str">
        <f t="shared" si="8"/>
        <v>Jul</v>
      </c>
      <c r="D305" t="s">
        <v>11</v>
      </c>
      <c r="E305" t="s">
        <v>20</v>
      </c>
      <c r="F305">
        <v>220</v>
      </c>
      <c r="G305" t="s">
        <v>34</v>
      </c>
      <c r="H305" t="s">
        <v>59</v>
      </c>
      <c r="I305" s="3">
        <v>140000</v>
      </c>
      <c r="J305" s="2">
        <v>0.28000000000000003</v>
      </c>
      <c r="K305" s="20">
        <v>0.18</v>
      </c>
      <c r="L305" s="19">
        <v>179200</v>
      </c>
      <c r="M305" s="3">
        <v>165200</v>
      </c>
      <c r="N305" s="19">
        <v>-14000</v>
      </c>
      <c r="O305" s="19">
        <v>6386329600</v>
      </c>
      <c r="P305" s="19">
        <v>6181767480</v>
      </c>
      <c r="Q305">
        <v>35638</v>
      </c>
      <c r="R305" s="11">
        <v>37419.9</v>
      </c>
      <c r="S305" s="12">
        <v>1781.9000000000015</v>
      </c>
      <c r="T305" s="3">
        <f t="shared" si="9"/>
        <v>-204562120</v>
      </c>
    </row>
    <row r="306" spans="1:20" x14ac:dyDescent="0.3">
      <c r="A306" s="46">
        <v>45139</v>
      </c>
      <c r="B306" s="4">
        <v>2023</v>
      </c>
      <c r="C306" s="18" t="str">
        <f t="shared" si="8"/>
        <v>Aug</v>
      </c>
      <c r="D306" s="4" t="s">
        <v>11</v>
      </c>
      <c r="E306" s="4" t="s">
        <v>20</v>
      </c>
      <c r="F306" s="4">
        <v>220</v>
      </c>
      <c r="G306" s="4" t="s">
        <v>34</v>
      </c>
      <c r="H306" t="s">
        <v>59</v>
      </c>
      <c r="I306" s="6">
        <v>140000</v>
      </c>
      <c r="J306" s="7">
        <v>0.28000000000000003</v>
      </c>
      <c r="K306" s="20">
        <v>0.18</v>
      </c>
      <c r="L306" s="19">
        <v>179200</v>
      </c>
      <c r="M306" s="6">
        <v>165200</v>
      </c>
      <c r="N306" s="19">
        <v>-14000</v>
      </c>
      <c r="O306" s="19">
        <v>6800819200</v>
      </c>
      <c r="P306" s="19">
        <v>6582980460.000001</v>
      </c>
      <c r="Q306" s="4">
        <v>37951</v>
      </c>
      <c r="R306" s="11">
        <v>39848.550000000003</v>
      </c>
      <c r="S306" s="12">
        <v>1897.5500000000029</v>
      </c>
      <c r="T306" s="3">
        <f t="shared" si="9"/>
        <v>-217838739.99999905</v>
      </c>
    </row>
    <row r="307" spans="1:20" x14ac:dyDescent="0.3">
      <c r="A307" s="45">
        <v>45170</v>
      </c>
      <c r="B307">
        <v>2023</v>
      </c>
      <c r="C307" s="18" t="str">
        <f t="shared" si="8"/>
        <v>Sep</v>
      </c>
      <c r="D307" t="s">
        <v>11</v>
      </c>
      <c r="E307" t="s">
        <v>20</v>
      </c>
      <c r="F307">
        <v>220</v>
      </c>
      <c r="G307" t="s">
        <v>34</v>
      </c>
      <c r="H307" t="s">
        <v>59</v>
      </c>
      <c r="I307" s="3">
        <v>140000</v>
      </c>
      <c r="J307" s="2">
        <v>0.28000000000000003</v>
      </c>
      <c r="K307" s="20">
        <v>0.18</v>
      </c>
      <c r="L307" s="19">
        <v>179200</v>
      </c>
      <c r="M307" s="3">
        <v>165200</v>
      </c>
      <c r="N307" s="19">
        <v>-14000</v>
      </c>
      <c r="O307" s="19">
        <v>5655552000</v>
      </c>
      <c r="P307" s="19">
        <v>5474397600</v>
      </c>
      <c r="Q307">
        <v>31560</v>
      </c>
      <c r="R307" s="11">
        <v>33138</v>
      </c>
      <c r="S307" s="12">
        <v>1578</v>
      </c>
      <c r="T307" s="3">
        <f t="shared" si="9"/>
        <v>-181154400</v>
      </c>
    </row>
    <row r="308" spans="1:20" x14ac:dyDescent="0.3">
      <c r="A308" s="46">
        <v>45200</v>
      </c>
      <c r="B308" s="4">
        <v>2023</v>
      </c>
      <c r="C308" s="18" t="str">
        <f t="shared" si="8"/>
        <v>Oct</v>
      </c>
      <c r="D308" s="4" t="s">
        <v>11</v>
      </c>
      <c r="E308" s="4" t="s">
        <v>20</v>
      </c>
      <c r="F308" s="4">
        <v>220</v>
      </c>
      <c r="G308" s="4" t="s">
        <v>34</v>
      </c>
      <c r="H308" t="s">
        <v>59</v>
      </c>
      <c r="I308" s="6">
        <v>140000</v>
      </c>
      <c r="J308" s="7">
        <v>0.28000000000000003</v>
      </c>
      <c r="K308" s="20">
        <v>0.18</v>
      </c>
      <c r="L308" s="19">
        <v>179200</v>
      </c>
      <c r="M308" s="6">
        <v>165200</v>
      </c>
      <c r="N308" s="19">
        <v>-14000</v>
      </c>
      <c r="O308" s="19">
        <v>5585843200</v>
      </c>
      <c r="P308" s="19">
        <v>5406921660.000001</v>
      </c>
      <c r="Q308" s="4">
        <v>31171</v>
      </c>
      <c r="R308" s="11">
        <v>32729.550000000003</v>
      </c>
      <c r="S308" s="12">
        <v>1558.5500000000029</v>
      </c>
      <c r="T308" s="3">
        <f t="shared" si="9"/>
        <v>-178921539.99999905</v>
      </c>
    </row>
    <row r="309" spans="1:20" x14ac:dyDescent="0.3">
      <c r="A309" s="45">
        <v>45231</v>
      </c>
      <c r="B309">
        <v>2023</v>
      </c>
      <c r="C309" s="18" t="str">
        <f t="shared" si="8"/>
        <v>Nov</v>
      </c>
      <c r="D309" t="s">
        <v>11</v>
      </c>
      <c r="E309" t="s">
        <v>20</v>
      </c>
      <c r="F309">
        <v>220</v>
      </c>
      <c r="G309" t="s">
        <v>34</v>
      </c>
      <c r="H309" t="s">
        <v>59</v>
      </c>
      <c r="I309" s="3">
        <v>140000</v>
      </c>
      <c r="J309" s="2">
        <v>0.28000000000000003</v>
      </c>
      <c r="K309" s="20">
        <v>0.18</v>
      </c>
      <c r="L309" s="19">
        <v>179200</v>
      </c>
      <c r="M309" s="3">
        <v>165200</v>
      </c>
      <c r="N309" s="19">
        <v>-14000</v>
      </c>
      <c r="O309" s="19">
        <v>6170035200</v>
      </c>
      <c r="P309" s="19">
        <v>5972401260.000001</v>
      </c>
      <c r="Q309">
        <v>34431</v>
      </c>
      <c r="R309" s="11">
        <v>36152.550000000003</v>
      </c>
      <c r="S309" s="12">
        <v>1721.5500000000029</v>
      </c>
      <c r="T309" s="3">
        <f t="shared" si="9"/>
        <v>-197633939.99999905</v>
      </c>
    </row>
    <row r="310" spans="1:20" x14ac:dyDescent="0.3">
      <c r="A310" s="46">
        <v>45261</v>
      </c>
      <c r="B310" s="4">
        <v>2023</v>
      </c>
      <c r="C310" s="18" t="str">
        <f t="shared" si="8"/>
        <v>Dec</v>
      </c>
      <c r="D310" s="4" t="s">
        <v>11</v>
      </c>
      <c r="E310" s="4" t="s">
        <v>20</v>
      </c>
      <c r="F310" s="4">
        <v>220</v>
      </c>
      <c r="G310" s="4" t="s">
        <v>34</v>
      </c>
      <c r="H310" t="s">
        <v>59</v>
      </c>
      <c r="I310" s="6">
        <v>140000</v>
      </c>
      <c r="J310" s="7">
        <v>0.28000000000000003</v>
      </c>
      <c r="K310" s="20">
        <v>0.18</v>
      </c>
      <c r="L310" s="19">
        <v>179200</v>
      </c>
      <c r="M310" s="6">
        <v>165200</v>
      </c>
      <c r="N310" s="19">
        <v>-14000</v>
      </c>
      <c r="O310" s="19">
        <v>7614208000</v>
      </c>
      <c r="P310" s="19">
        <v>7370315400</v>
      </c>
      <c r="Q310" s="4">
        <v>42490</v>
      </c>
      <c r="R310" s="11">
        <v>44614.5</v>
      </c>
      <c r="S310" s="12">
        <v>2124.5</v>
      </c>
      <c r="T310" s="3">
        <f t="shared" si="9"/>
        <v>-243892600</v>
      </c>
    </row>
    <row r="311" spans="1:20" x14ac:dyDescent="0.3">
      <c r="A311" s="45">
        <v>45292</v>
      </c>
      <c r="B311">
        <v>2024</v>
      </c>
      <c r="C311" s="18" t="str">
        <f t="shared" si="8"/>
        <v>Jan</v>
      </c>
      <c r="D311" t="s">
        <v>11</v>
      </c>
      <c r="E311" t="s">
        <v>20</v>
      </c>
      <c r="F311">
        <v>220</v>
      </c>
      <c r="G311" t="s">
        <v>34</v>
      </c>
      <c r="H311" t="s">
        <v>59</v>
      </c>
      <c r="I311" s="3">
        <v>140000</v>
      </c>
      <c r="J311" s="2">
        <v>0.28000000000000003</v>
      </c>
      <c r="K311" s="20">
        <v>0.18</v>
      </c>
      <c r="L311" s="19">
        <v>179200</v>
      </c>
      <c r="M311" s="3">
        <v>165200</v>
      </c>
      <c r="N311" s="19">
        <v>-14000</v>
      </c>
      <c r="O311" s="19">
        <v>8252518400</v>
      </c>
      <c r="P311" s="19">
        <v>7988179920</v>
      </c>
      <c r="Q311">
        <v>46052</v>
      </c>
      <c r="R311" s="11">
        <v>48354.6</v>
      </c>
      <c r="S311" s="12">
        <v>2302.5999999999985</v>
      </c>
      <c r="T311" s="3">
        <f t="shared" si="9"/>
        <v>-264338480</v>
      </c>
    </row>
    <row r="312" spans="1:20" x14ac:dyDescent="0.3">
      <c r="A312" s="46">
        <v>45323</v>
      </c>
      <c r="B312" s="4">
        <v>2024</v>
      </c>
      <c r="C312" s="18" t="str">
        <f t="shared" si="8"/>
        <v>Feb</v>
      </c>
      <c r="D312" s="4" t="s">
        <v>11</v>
      </c>
      <c r="E312" s="4" t="s">
        <v>20</v>
      </c>
      <c r="F312" s="4">
        <v>220</v>
      </c>
      <c r="G312" s="4" t="s">
        <v>34</v>
      </c>
      <c r="H312" t="s">
        <v>59</v>
      </c>
      <c r="I312" s="6">
        <v>140000</v>
      </c>
      <c r="J312" s="7">
        <v>0.28000000000000003</v>
      </c>
      <c r="K312" s="20">
        <v>0.18</v>
      </c>
      <c r="L312" s="19">
        <v>179200</v>
      </c>
      <c r="M312" s="6">
        <v>165200</v>
      </c>
      <c r="N312" s="19">
        <v>-14000</v>
      </c>
      <c r="O312" s="19">
        <v>8572390400</v>
      </c>
      <c r="P312" s="19">
        <v>8297806020</v>
      </c>
      <c r="Q312" s="4">
        <v>47837</v>
      </c>
      <c r="R312" s="11">
        <v>50228.85</v>
      </c>
      <c r="S312" s="12">
        <v>2391.8499999999985</v>
      </c>
      <c r="T312" s="3">
        <f t="shared" si="9"/>
        <v>-274584380</v>
      </c>
    </row>
    <row r="313" spans="1:20" x14ac:dyDescent="0.3">
      <c r="A313" s="45">
        <v>45352</v>
      </c>
      <c r="B313">
        <v>2024</v>
      </c>
      <c r="C313" s="18" t="str">
        <f t="shared" si="8"/>
        <v>Mar</v>
      </c>
      <c r="D313" t="s">
        <v>11</v>
      </c>
      <c r="E313" t="s">
        <v>20</v>
      </c>
      <c r="F313">
        <v>220</v>
      </c>
      <c r="G313" t="s">
        <v>34</v>
      </c>
      <c r="H313" t="s">
        <v>59</v>
      </c>
      <c r="I313" s="3">
        <v>140000</v>
      </c>
      <c r="J313" s="2">
        <v>0.28000000000000003</v>
      </c>
      <c r="K313" s="20">
        <v>0.18</v>
      </c>
      <c r="L313" s="19">
        <v>179200</v>
      </c>
      <c r="M313" s="3">
        <v>165200</v>
      </c>
      <c r="N313" s="19">
        <v>-14000</v>
      </c>
      <c r="O313" s="19">
        <v>8359859200</v>
      </c>
      <c r="P313" s="19">
        <v>8092082460.000001</v>
      </c>
      <c r="Q313">
        <v>46651</v>
      </c>
      <c r="R313" s="11">
        <v>48983.55</v>
      </c>
      <c r="S313" s="12">
        <v>2332.5500000000029</v>
      </c>
      <c r="T313" s="3">
        <f t="shared" si="9"/>
        <v>-267776739.99999905</v>
      </c>
    </row>
    <row r="314" spans="1:20" x14ac:dyDescent="0.3">
      <c r="A314" s="46">
        <v>45383</v>
      </c>
      <c r="B314" s="4">
        <v>2024</v>
      </c>
      <c r="C314" s="18" t="str">
        <f t="shared" si="8"/>
        <v>Apr</v>
      </c>
      <c r="D314" s="4" t="s">
        <v>11</v>
      </c>
      <c r="E314" s="4" t="s">
        <v>20</v>
      </c>
      <c r="F314" s="4">
        <v>220</v>
      </c>
      <c r="G314" s="4" t="s">
        <v>34</v>
      </c>
      <c r="H314" t="s">
        <v>59</v>
      </c>
      <c r="I314" s="6">
        <v>140000</v>
      </c>
      <c r="J314" s="7">
        <v>0.28000000000000003</v>
      </c>
      <c r="K314" s="20">
        <v>0.18</v>
      </c>
      <c r="L314" s="19">
        <v>179200</v>
      </c>
      <c r="M314" s="6">
        <v>165200</v>
      </c>
      <c r="N314" s="19">
        <v>-14000</v>
      </c>
      <c r="O314" s="19">
        <v>8842444800</v>
      </c>
      <c r="P314" s="19">
        <v>8559210240.000001</v>
      </c>
      <c r="Q314" s="4">
        <v>49344</v>
      </c>
      <c r="R314" s="11">
        <v>51811.200000000004</v>
      </c>
      <c r="S314" s="12">
        <v>2467.2000000000044</v>
      </c>
      <c r="T314" s="3">
        <f t="shared" si="9"/>
        <v>-283234559.99999905</v>
      </c>
    </row>
    <row r="315" spans="1:20" x14ac:dyDescent="0.3">
      <c r="A315" s="45">
        <v>45413</v>
      </c>
      <c r="B315">
        <v>2024</v>
      </c>
      <c r="C315" s="18" t="str">
        <f t="shared" si="8"/>
        <v>May</v>
      </c>
      <c r="D315" t="s">
        <v>11</v>
      </c>
      <c r="E315" t="s">
        <v>20</v>
      </c>
      <c r="F315">
        <v>220</v>
      </c>
      <c r="G315" t="s">
        <v>34</v>
      </c>
      <c r="H315" t="s">
        <v>59</v>
      </c>
      <c r="I315" s="3">
        <v>140000</v>
      </c>
      <c r="J315" s="2">
        <v>0.28000000000000003</v>
      </c>
      <c r="K315" s="20">
        <v>0.18</v>
      </c>
      <c r="L315" s="19">
        <v>179200</v>
      </c>
      <c r="M315" s="3">
        <v>165200</v>
      </c>
      <c r="N315" s="19">
        <v>-14000</v>
      </c>
      <c r="O315" s="19">
        <v>6341171200</v>
      </c>
      <c r="P315" s="19">
        <v>6138055560.000001</v>
      </c>
      <c r="Q315">
        <v>35386</v>
      </c>
      <c r="R315" s="11">
        <v>37155.300000000003</v>
      </c>
      <c r="S315" s="12">
        <v>1769.3000000000029</v>
      </c>
      <c r="T315" s="3">
        <f t="shared" si="9"/>
        <v>-203115639.99999905</v>
      </c>
    </row>
    <row r="316" spans="1:20" x14ac:dyDescent="0.3">
      <c r="A316" s="46">
        <v>45444</v>
      </c>
      <c r="B316" s="4">
        <v>2024</v>
      </c>
      <c r="C316" s="18" t="str">
        <f t="shared" si="8"/>
        <v>Jun</v>
      </c>
      <c r="D316" s="4" t="s">
        <v>11</v>
      </c>
      <c r="E316" s="4" t="s">
        <v>20</v>
      </c>
      <c r="F316" s="4">
        <v>220</v>
      </c>
      <c r="G316" s="4" t="s">
        <v>34</v>
      </c>
      <c r="H316" t="s">
        <v>59</v>
      </c>
      <c r="I316" s="6">
        <v>140000</v>
      </c>
      <c r="J316" s="7">
        <v>0.28000000000000003</v>
      </c>
      <c r="K316" s="20">
        <v>0.18</v>
      </c>
      <c r="L316" s="19">
        <v>179200</v>
      </c>
      <c r="M316" s="6">
        <v>165200</v>
      </c>
      <c r="N316" s="19">
        <v>-14000</v>
      </c>
      <c r="O316" s="19">
        <v>8044288000</v>
      </c>
      <c r="P316" s="19">
        <v>7786619400</v>
      </c>
      <c r="Q316" s="4">
        <v>44890</v>
      </c>
      <c r="R316" s="11">
        <v>47134.5</v>
      </c>
      <c r="S316" s="12">
        <v>2244.5</v>
      </c>
      <c r="T316" s="3">
        <f t="shared" si="9"/>
        <v>-257668600</v>
      </c>
    </row>
    <row r="317" spans="1:20" x14ac:dyDescent="0.3">
      <c r="A317" s="45">
        <v>45474</v>
      </c>
      <c r="B317">
        <v>2024</v>
      </c>
      <c r="C317" s="18" t="str">
        <f t="shared" si="8"/>
        <v>Jul</v>
      </c>
      <c r="D317" t="s">
        <v>11</v>
      </c>
      <c r="E317" t="s">
        <v>20</v>
      </c>
      <c r="F317">
        <v>220</v>
      </c>
      <c r="G317" t="s">
        <v>34</v>
      </c>
      <c r="H317" t="s">
        <v>59</v>
      </c>
      <c r="I317" s="3">
        <v>140000</v>
      </c>
      <c r="J317" s="2">
        <v>0.28000000000000003</v>
      </c>
      <c r="K317" s="20">
        <v>0.18</v>
      </c>
      <c r="L317" s="19">
        <v>179200</v>
      </c>
      <c r="M317" s="3">
        <v>165200</v>
      </c>
      <c r="N317" s="19">
        <v>-14000</v>
      </c>
      <c r="O317" s="19">
        <v>7026790400</v>
      </c>
      <c r="P317" s="19">
        <v>6801713520</v>
      </c>
      <c r="Q317">
        <v>39212</v>
      </c>
      <c r="R317" s="11">
        <v>41172.6</v>
      </c>
      <c r="S317" s="12">
        <v>1960.5999999999985</v>
      </c>
      <c r="T317" s="3">
        <f t="shared" si="9"/>
        <v>-225076880</v>
      </c>
    </row>
    <row r="318" spans="1:20" x14ac:dyDescent="0.3">
      <c r="A318" s="46">
        <v>45505</v>
      </c>
      <c r="B318" s="4">
        <v>2024</v>
      </c>
      <c r="C318" s="18" t="str">
        <f t="shared" si="8"/>
        <v>Aug</v>
      </c>
      <c r="D318" s="4" t="s">
        <v>11</v>
      </c>
      <c r="E318" s="4" t="s">
        <v>20</v>
      </c>
      <c r="F318" s="4">
        <v>220</v>
      </c>
      <c r="G318" s="4" t="s">
        <v>34</v>
      </c>
      <c r="H318" t="s">
        <v>59</v>
      </c>
      <c r="I318" s="6">
        <v>140000</v>
      </c>
      <c r="J318" s="7">
        <v>0.28000000000000003</v>
      </c>
      <c r="K318" s="20">
        <v>0.18</v>
      </c>
      <c r="L318" s="19">
        <v>179200</v>
      </c>
      <c r="M318" s="6">
        <v>165200</v>
      </c>
      <c r="N318" s="19">
        <v>-14000</v>
      </c>
      <c r="O318" s="19">
        <v>6568755200</v>
      </c>
      <c r="P318" s="19">
        <v>6358349760.000001</v>
      </c>
      <c r="Q318" s="4">
        <v>36656</v>
      </c>
      <c r="R318" s="11">
        <v>38488.800000000003</v>
      </c>
      <c r="S318" s="12">
        <v>1832.8000000000029</v>
      </c>
      <c r="T318" s="3">
        <f t="shared" si="9"/>
        <v>-210405439.99999905</v>
      </c>
    </row>
    <row r="319" spans="1:20" x14ac:dyDescent="0.3">
      <c r="A319" s="45">
        <v>45536</v>
      </c>
      <c r="B319">
        <v>2024</v>
      </c>
      <c r="C319" s="18" t="str">
        <f t="shared" si="8"/>
        <v>Sep</v>
      </c>
      <c r="D319" t="s">
        <v>11</v>
      </c>
      <c r="E319" t="s">
        <v>20</v>
      </c>
      <c r="F319">
        <v>220</v>
      </c>
      <c r="G319" t="s">
        <v>34</v>
      </c>
      <c r="H319" t="s">
        <v>59</v>
      </c>
      <c r="I319" s="3">
        <v>140000</v>
      </c>
      <c r="J319" s="2">
        <v>0.28000000000000003</v>
      </c>
      <c r="K319" s="20">
        <v>0.18</v>
      </c>
      <c r="L319" s="19">
        <v>179200</v>
      </c>
      <c r="M319" s="3">
        <v>165200</v>
      </c>
      <c r="N319" s="19">
        <v>-14000</v>
      </c>
      <c r="O319" s="19">
        <v>6080076800</v>
      </c>
      <c r="P319" s="19">
        <v>5885324340.000001</v>
      </c>
      <c r="Q319">
        <v>33929</v>
      </c>
      <c r="R319" s="11">
        <v>35625.450000000004</v>
      </c>
      <c r="S319" s="12">
        <v>1696.4500000000044</v>
      </c>
      <c r="T319" s="3">
        <f t="shared" si="9"/>
        <v>-194752459.99999905</v>
      </c>
    </row>
    <row r="320" spans="1:20" x14ac:dyDescent="0.3">
      <c r="A320" s="46">
        <v>45566</v>
      </c>
      <c r="B320" s="4">
        <v>2024</v>
      </c>
      <c r="C320" s="18" t="str">
        <f t="shared" si="8"/>
        <v>Oct</v>
      </c>
      <c r="D320" s="4" t="s">
        <v>11</v>
      </c>
      <c r="E320" s="4" t="s">
        <v>20</v>
      </c>
      <c r="F320" s="4">
        <v>220</v>
      </c>
      <c r="G320" s="4" t="s">
        <v>34</v>
      </c>
      <c r="H320" t="s">
        <v>59</v>
      </c>
      <c r="I320" s="6">
        <v>140000</v>
      </c>
      <c r="J320" s="7">
        <v>0.28000000000000003</v>
      </c>
      <c r="K320" s="20">
        <v>0.18</v>
      </c>
      <c r="L320" s="19">
        <v>179200</v>
      </c>
      <c r="M320" s="6">
        <v>165200</v>
      </c>
      <c r="N320" s="19">
        <v>-14000</v>
      </c>
      <c r="O320" s="19">
        <v>6358195200</v>
      </c>
      <c r="P320" s="19">
        <v>6154534260.000001</v>
      </c>
      <c r="Q320" s="4">
        <v>35481</v>
      </c>
      <c r="R320" s="11">
        <v>37255.050000000003</v>
      </c>
      <c r="S320" s="12">
        <v>1774.0500000000029</v>
      </c>
      <c r="T320" s="3">
        <f t="shared" si="9"/>
        <v>-203660939.99999905</v>
      </c>
    </row>
    <row r="321" spans="1:20" x14ac:dyDescent="0.3">
      <c r="A321" s="45">
        <v>45597</v>
      </c>
      <c r="B321">
        <v>2024</v>
      </c>
      <c r="C321" s="18" t="str">
        <f t="shared" si="8"/>
        <v>Nov</v>
      </c>
      <c r="D321" t="s">
        <v>11</v>
      </c>
      <c r="E321" t="s">
        <v>20</v>
      </c>
      <c r="F321">
        <v>220</v>
      </c>
      <c r="G321" t="s">
        <v>34</v>
      </c>
      <c r="H321" t="s">
        <v>59</v>
      </c>
      <c r="I321" s="3">
        <v>140000</v>
      </c>
      <c r="J321" s="2">
        <v>0.28000000000000003</v>
      </c>
      <c r="K321" s="20">
        <v>0.18</v>
      </c>
      <c r="L321" s="19">
        <v>179200</v>
      </c>
      <c r="M321" s="3">
        <v>165200</v>
      </c>
      <c r="N321" s="19">
        <v>-14000</v>
      </c>
      <c r="O321" s="19">
        <v>6326476800</v>
      </c>
      <c r="P321" s="19">
        <v>6123831840.000001</v>
      </c>
      <c r="Q321">
        <v>35304</v>
      </c>
      <c r="R321" s="11">
        <v>37069.200000000004</v>
      </c>
      <c r="S321" s="12">
        <v>1765.2000000000044</v>
      </c>
      <c r="T321" s="3">
        <f t="shared" si="9"/>
        <v>-202644959.99999905</v>
      </c>
    </row>
    <row r="322" spans="1:20" x14ac:dyDescent="0.3">
      <c r="A322" s="46">
        <v>45627</v>
      </c>
      <c r="B322" s="4">
        <v>2024</v>
      </c>
      <c r="C322" s="18" t="str">
        <f t="shared" si="8"/>
        <v>Dec</v>
      </c>
      <c r="D322" s="4" t="s">
        <v>11</v>
      </c>
      <c r="E322" s="4" t="s">
        <v>20</v>
      </c>
      <c r="F322" s="4">
        <v>220</v>
      </c>
      <c r="G322" s="4" t="s">
        <v>34</v>
      </c>
      <c r="H322" t="s">
        <v>59</v>
      </c>
      <c r="I322" s="6">
        <v>140000</v>
      </c>
      <c r="J322" s="7">
        <v>0.28000000000000003</v>
      </c>
      <c r="K322" s="20">
        <v>0.18</v>
      </c>
      <c r="L322" s="19">
        <v>179200</v>
      </c>
      <c r="M322" s="6">
        <v>165200</v>
      </c>
      <c r="N322" s="19">
        <v>-14000</v>
      </c>
      <c r="O322" s="19">
        <v>7996620800</v>
      </c>
      <c r="P322" s="19">
        <v>7740479040.000001</v>
      </c>
      <c r="Q322" s="4">
        <v>44624</v>
      </c>
      <c r="R322" s="11">
        <v>46855.200000000004</v>
      </c>
      <c r="S322" s="12">
        <v>2231.2000000000044</v>
      </c>
      <c r="T322" s="3">
        <f t="shared" si="9"/>
        <v>-256141759.99999905</v>
      </c>
    </row>
    <row r="323" spans="1:20" x14ac:dyDescent="0.3">
      <c r="A323" s="45">
        <v>45658</v>
      </c>
      <c r="B323">
        <v>2025</v>
      </c>
      <c r="C323" s="18" t="str">
        <f t="shared" ref="C323:C386" si="10">TEXT(A323,"mmm")</f>
        <v>Jan</v>
      </c>
      <c r="D323" t="s">
        <v>11</v>
      </c>
      <c r="E323" t="s">
        <v>20</v>
      </c>
      <c r="F323">
        <v>220</v>
      </c>
      <c r="G323" t="s">
        <v>34</v>
      </c>
      <c r="H323" t="s">
        <v>59</v>
      </c>
      <c r="I323" s="3">
        <v>140000</v>
      </c>
      <c r="J323" s="2">
        <v>0.28000000000000003</v>
      </c>
      <c r="K323" s="20">
        <v>0.18</v>
      </c>
      <c r="L323" s="19">
        <v>179200</v>
      </c>
      <c r="M323" s="3">
        <v>165200</v>
      </c>
      <c r="N323" s="19">
        <v>-14000</v>
      </c>
      <c r="O323" s="19">
        <v>8529024000</v>
      </c>
      <c r="P323" s="19">
        <v>8255828700</v>
      </c>
      <c r="Q323">
        <v>47595</v>
      </c>
      <c r="R323" s="11">
        <v>49974.75</v>
      </c>
      <c r="S323" s="12">
        <v>2379.75</v>
      </c>
      <c r="T323" s="3">
        <f t="shared" ref="T323:T386" si="11">P323-O323</f>
        <v>-273195300</v>
      </c>
    </row>
    <row r="324" spans="1:20" x14ac:dyDescent="0.3">
      <c r="A324" s="46">
        <v>45689</v>
      </c>
      <c r="B324" s="4">
        <v>2025</v>
      </c>
      <c r="C324" s="18" t="str">
        <f t="shared" si="10"/>
        <v>Feb</v>
      </c>
      <c r="D324" s="4" t="s">
        <v>11</v>
      </c>
      <c r="E324" s="4" t="s">
        <v>20</v>
      </c>
      <c r="F324" s="4">
        <v>220</v>
      </c>
      <c r="G324" s="4" t="s">
        <v>34</v>
      </c>
      <c r="H324" t="s">
        <v>59</v>
      </c>
      <c r="I324" s="6">
        <v>140000</v>
      </c>
      <c r="J324" s="7">
        <v>0.28000000000000003</v>
      </c>
      <c r="K324" s="20">
        <v>0.18</v>
      </c>
      <c r="L324" s="19">
        <v>179200</v>
      </c>
      <c r="M324" s="6">
        <v>165200</v>
      </c>
      <c r="N324" s="19">
        <v>-14000</v>
      </c>
      <c r="O324" s="19">
        <v>8538342400</v>
      </c>
      <c r="P324" s="19">
        <v>8264848620</v>
      </c>
      <c r="Q324" s="4">
        <v>47647</v>
      </c>
      <c r="R324" s="11">
        <v>50029.35</v>
      </c>
      <c r="S324" s="12">
        <v>2382.3499999999985</v>
      </c>
      <c r="T324" s="3">
        <f t="shared" si="11"/>
        <v>-273493780</v>
      </c>
    </row>
    <row r="325" spans="1:20" x14ac:dyDescent="0.3">
      <c r="A325" s="45">
        <v>45717</v>
      </c>
      <c r="B325">
        <v>2025</v>
      </c>
      <c r="C325" s="18" t="str">
        <f t="shared" si="10"/>
        <v>Mar</v>
      </c>
      <c r="D325" t="s">
        <v>11</v>
      </c>
      <c r="E325" t="s">
        <v>20</v>
      </c>
      <c r="F325">
        <v>220</v>
      </c>
      <c r="G325" t="s">
        <v>34</v>
      </c>
      <c r="H325" t="s">
        <v>59</v>
      </c>
      <c r="I325" s="3">
        <v>140000</v>
      </c>
      <c r="J325" s="2">
        <v>0.28000000000000003</v>
      </c>
      <c r="K325" s="20">
        <v>0.18</v>
      </c>
      <c r="L325" s="19">
        <v>179200</v>
      </c>
      <c r="M325" s="3">
        <v>165200</v>
      </c>
      <c r="N325" s="19">
        <v>-14000</v>
      </c>
      <c r="O325" s="19">
        <v>8225638400</v>
      </c>
      <c r="P325" s="19">
        <v>7962160920</v>
      </c>
      <c r="Q325">
        <v>45902</v>
      </c>
      <c r="R325" s="11">
        <v>48197.1</v>
      </c>
      <c r="S325" s="12">
        <v>2295.0999999999985</v>
      </c>
      <c r="T325" s="3">
        <f t="shared" si="11"/>
        <v>-263477480</v>
      </c>
    </row>
    <row r="326" spans="1:20" x14ac:dyDescent="0.3">
      <c r="A326" s="46">
        <v>45748</v>
      </c>
      <c r="B326" s="4">
        <v>2025</v>
      </c>
      <c r="C326" s="18" t="str">
        <f t="shared" si="10"/>
        <v>Apr</v>
      </c>
      <c r="D326" s="4" t="s">
        <v>11</v>
      </c>
      <c r="E326" s="4" t="s">
        <v>20</v>
      </c>
      <c r="F326" s="4">
        <v>220</v>
      </c>
      <c r="G326" s="4" t="s">
        <v>34</v>
      </c>
      <c r="H326" t="s">
        <v>59</v>
      </c>
      <c r="I326" s="6">
        <v>140000</v>
      </c>
      <c r="J326" s="7">
        <v>0.28000000000000003</v>
      </c>
      <c r="K326" s="20">
        <v>0.18</v>
      </c>
      <c r="L326" s="19">
        <v>179200</v>
      </c>
      <c r="M326" s="6">
        <v>165200</v>
      </c>
      <c r="N326" s="19">
        <v>-14000</v>
      </c>
      <c r="O326" s="19">
        <v>7432320000</v>
      </c>
      <c r="P326" s="19">
        <v>7194253500</v>
      </c>
      <c r="Q326" s="4">
        <v>41475</v>
      </c>
      <c r="R326" s="11">
        <v>43548.75</v>
      </c>
      <c r="S326" s="12">
        <v>2073.75</v>
      </c>
      <c r="T326" s="3">
        <f t="shared" si="11"/>
        <v>-238066500</v>
      </c>
    </row>
    <row r="327" spans="1:20" x14ac:dyDescent="0.3">
      <c r="A327" s="45">
        <v>45778</v>
      </c>
      <c r="B327">
        <v>2025</v>
      </c>
      <c r="C327" s="18" t="str">
        <f t="shared" si="10"/>
        <v>May</v>
      </c>
      <c r="D327" t="s">
        <v>11</v>
      </c>
      <c r="E327" t="s">
        <v>20</v>
      </c>
      <c r="F327">
        <v>220</v>
      </c>
      <c r="G327" t="s">
        <v>34</v>
      </c>
      <c r="H327" t="s">
        <v>59</v>
      </c>
      <c r="I327" s="3">
        <v>140000</v>
      </c>
      <c r="J327" s="2">
        <v>0.28000000000000003</v>
      </c>
      <c r="K327" s="20">
        <v>0.18</v>
      </c>
      <c r="L327" s="19">
        <v>179200</v>
      </c>
      <c r="M327" s="3">
        <v>165200</v>
      </c>
      <c r="N327" s="19">
        <v>-14000</v>
      </c>
      <c r="O327" s="19">
        <v>7256524800</v>
      </c>
      <c r="P327" s="19">
        <v>7024089240.000001</v>
      </c>
      <c r="Q327">
        <v>40494</v>
      </c>
      <c r="R327" s="11">
        <v>42518.700000000004</v>
      </c>
      <c r="S327" s="12">
        <v>2024.7000000000044</v>
      </c>
      <c r="T327" s="3">
        <f t="shared" si="11"/>
        <v>-232435559.99999905</v>
      </c>
    </row>
    <row r="328" spans="1:20" x14ac:dyDescent="0.3">
      <c r="A328" s="46">
        <v>45809</v>
      </c>
      <c r="B328" s="4">
        <v>2025</v>
      </c>
      <c r="C328" s="18" t="str">
        <f t="shared" si="10"/>
        <v>Jun</v>
      </c>
      <c r="D328" s="4" t="s">
        <v>11</v>
      </c>
      <c r="E328" s="4" t="s">
        <v>20</v>
      </c>
      <c r="F328" s="4">
        <v>220</v>
      </c>
      <c r="G328" s="4" t="s">
        <v>34</v>
      </c>
      <c r="H328" t="s">
        <v>59</v>
      </c>
      <c r="I328" s="6">
        <v>140000</v>
      </c>
      <c r="J328" s="7">
        <v>0.28000000000000003</v>
      </c>
      <c r="K328" s="20">
        <v>0.18</v>
      </c>
      <c r="L328" s="19">
        <v>179200</v>
      </c>
      <c r="M328" s="6">
        <v>165200</v>
      </c>
      <c r="N328" s="19">
        <v>-14000</v>
      </c>
      <c r="O328" s="19">
        <v>6412313600</v>
      </c>
      <c r="P328" s="19">
        <v>6206919180</v>
      </c>
      <c r="Q328" s="4">
        <v>35783</v>
      </c>
      <c r="R328" s="11">
        <v>37572.15</v>
      </c>
      <c r="S328" s="12">
        <v>1789.1500000000015</v>
      </c>
      <c r="T328" s="3">
        <f t="shared" si="11"/>
        <v>-205394420</v>
      </c>
    </row>
    <row r="329" spans="1:20" x14ac:dyDescent="0.3">
      <c r="A329" s="45">
        <v>45839</v>
      </c>
      <c r="B329">
        <v>2025</v>
      </c>
      <c r="C329" s="18" t="str">
        <f t="shared" si="10"/>
        <v>Jul</v>
      </c>
      <c r="D329" t="s">
        <v>11</v>
      </c>
      <c r="E329" t="s">
        <v>20</v>
      </c>
      <c r="F329">
        <v>220</v>
      </c>
      <c r="G329" t="s">
        <v>34</v>
      </c>
      <c r="H329" t="s">
        <v>59</v>
      </c>
      <c r="I329" s="3">
        <v>140000</v>
      </c>
      <c r="J329" s="2">
        <v>0.28000000000000003</v>
      </c>
      <c r="K329" s="20">
        <v>0.18</v>
      </c>
      <c r="L329" s="19">
        <v>179200</v>
      </c>
      <c r="M329" s="3">
        <v>165200</v>
      </c>
      <c r="N329" s="19">
        <v>-14000</v>
      </c>
      <c r="O329" s="19">
        <v>6178457600</v>
      </c>
      <c r="P329" s="19">
        <v>5980553880</v>
      </c>
      <c r="Q329">
        <v>34478</v>
      </c>
      <c r="R329" s="11">
        <v>36201.9</v>
      </c>
      <c r="S329" s="12">
        <v>1723.9000000000015</v>
      </c>
      <c r="T329" s="3">
        <f t="shared" si="11"/>
        <v>-197903720</v>
      </c>
    </row>
    <row r="330" spans="1:20" x14ac:dyDescent="0.3">
      <c r="A330" s="46">
        <v>45870</v>
      </c>
      <c r="B330" s="4">
        <v>2025</v>
      </c>
      <c r="C330" s="18" t="str">
        <f t="shared" si="10"/>
        <v>Aug</v>
      </c>
      <c r="D330" s="4" t="s">
        <v>11</v>
      </c>
      <c r="E330" s="4" t="s">
        <v>20</v>
      </c>
      <c r="F330" s="4">
        <v>220</v>
      </c>
      <c r="G330" s="4" t="s">
        <v>34</v>
      </c>
      <c r="H330" t="s">
        <v>59</v>
      </c>
      <c r="I330" s="6">
        <v>140000</v>
      </c>
      <c r="J330" s="7">
        <v>0.28000000000000003</v>
      </c>
      <c r="K330" s="20">
        <v>0.18</v>
      </c>
      <c r="L330" s="19">
        <v>179200</v>
      </c>
      <c r="M330" s="6">
        <v>165200</v>
      </c>
      <c r="N330" s="19">
        <v>-14000</v>
      </c>
      <c r="O330" s="19">
        <v>6361600000</v>
      </c>
      <c r="P330" s="19">
        <v>6157830000</v>
      </c>
      <c r="Q330" s="4">
        <v>35500</v>
      </c>
      <c r="R330" s="11">
        <v>37275</v>
      </c>
      <c r="S330" s="12">
        <v>1775</v>
      </c>
      <c r="T330" s="3">
        <f t="shared" si="11"/>
        <v>-203770000</v>
      </c>
    </row>
    <row r="331" spans="1:20" x14ac:dyDescent="0.3">
      <c r="A331" s="45">
        <v>45901</v>
      </c>
      <c r="B331">
        <v>2025</v>
      </c>
      <c r="C331" s="18" t="str">
        <f t="shared" si="10"/>
        <v>Sep</v>
      </c>
      <c r="D331" t="s">
        <v>11</v>
      </c>
      <c r="E331" t="s">
        <v>20</v>
      </c>
      <c r="F331">
        <v>220</v>
      </c>
      <c r="G331" t="s">
        <v>34</v>
      </c>
      <c r="H331" t="s">
        <v>59</v>
      </c>
      <c r="I331" s="3">
        <v>140000</v>
      </c>
      <c r="J331" s="2">
        <v>0.28000000000000003</v>
      </c>
      <c r="K331" s="20">
        <v>0.18</v>
      </c>
      <c r="L331" s="19">
        <v>179200</v>
      </c>
      <c r="M331" s="3">
        <v>165200</v>
      </c>
      <c r="N331" s="19">
        <v>-14000</v>
      </c>
      <c r="O331" s="19">
        <v>6021657600</v>
      </c>
      <c r="P331" s="19">
        <v>5828776380</v>
      </c>
      <c r="Q331">
        <v>33603</v>
      </c>
      <c r="R331" s="11">
        <v>35283.15</v>
      </c>
      <c r="S331" s="12">
        <v>1680.1500000000015</v>
      </c>
      <c r="T331" s="3">
        <f t="shared" si="11"/>
        <v>-192881220</v>
      </c>
    </row>
    <row r="332" spans="1:20" x14ac:dyDescent="0.3">
      <c r="A332" s="46">
        <v>44927</v>
      </c>
      <c r="B332" s="4">
        <v>2023</v>
      </c>
      <c r="C332" s="18" t="str">
        <f t="shared" si="10"/>
        <v>Jan</v>
      </c>
      <c r="D332" s="4" t="s">
        <v>11</v>
      </c>
      <c r="E332" s="4" t="s">
        <v>22</v>
      </c>
      <c r="F332" s="4">
        <v>220</v>
      </c>
      <c r="G332" s="4" t="s">
        <v>34</v>
      </c>
      <c r="H332" t="s">
        <v>59</v>
      </c>
      <c r="I332" s="6">
        <v>140000</v>
      </c>
      <c r="J332" s="7">
        <v>0.28000000000000003</v>
      </c>
      <c r="K332" s="20">
        <v>0.18</v>
      </c>
      <c r="L332" s="19">
        <v>179200</v>
      </c>
      <c r="M332" s="6">
        <v>165200</v>
      </c>
      <c r="N332" s="19">
        <v>-14000</v>
      </c>
      <c r="O332" s="19">
        <v>2845158400</v>
      </c>
      <c r="P332" s="19">
        <v>2754024420.0000005</v>
      </c>
      <c r="Q332" s="4">
        <v>15877</v>
      </c>
      <c r="R332" s="11">
        <v>16670.850000000002</v>
      </c>
      <c r="S332" s="12">
        <v>793.85000000000218</v>
      </c>
      <c r="T332" s="3">
        <f t="shared" si="11"/>
        <v>-91133979.999999523</v>
      </c>
    </row>
    <row r="333" spans="1:20" x14ac:dyDescent="0.3">
      <c r="A333" s="45">
        <v>44958</v>
      </c>
      <c r="B333">
        <v>2023</v>
      </c>
      <c r="C333" s="18" t="str">
        <f t="shared" si="10"/>
        <v>Feb</v>
      </c>
      <c r="D333" t="s">
        <v>11</v>
      </c>
      <c r="E333" t="s">
        <v>22</v>
      </c>
      <c r="F333">
        <v>220</v>
      </c>
      <c r="G333" t="s">
        <v>34</v>
      </c>
      <c r="H333" t="s">
        <v>59</v>
      </c>
      <c r="I333" s="3">
        <v>140000</v>
      </c>
      <c r="J333" s="2">
        <v>0.28000000000000003</v>
      </c>
      <c r="K333" s="20">
        <v>0.18</v>
      </c>
      <c r="L333" s="19">
        <v>179200</v>
      </c>
      <c r="M333" s="3">
        <v>165200</v>
      </c>
      <c r="N333" s="19">
        <v>-14000</v>
      </c>
      <c r="O333" s="19">
        <v>2603955200</v>
      </c>
      <c r="P333" s="19">
        <v>2520547260</v>
      </c>
      <c r="Q333">
        <v>14531</v>
      </c>
      <c r="R333" s="11">
        <v>15257.550000000001</v>
      </c>
      <c r="S333" s="12">
        <v>726.55000000000109</v>
      </c>
      <c r="T333" s="3">
        <f t="shared" si="11"/>
        <v>-83407940</v>
      </c>
    </row>
    <row r="334" spans="1:20" x14ac:dyDescent="0.3">
      <c r="A334" s="46">
        <v>44986</v>
      </c>
      <c r="B334" s="4">
        <v>2023</v>
      </c>
      <c r="C334" s="18" t="str">
        <f t="shared" si="10"/>
        <v>Mar</v>
      </c>
      <c r="D334" s="4" t="s">
        <v>11</v>
      </c>
      <c r="E334" s="4" t="s">
        <v>22</v>
      </c>
      <c r="F334" s="4">
        <v>220</v>
      </c>
      <c r="G334" s="4" t="s">
        <v>34</v>
      </c>
      <c r="H334" t="s">
        <v>59</v>
      </c>
      <c r="I334" s="6">
        <v>140000</v>
      </c>
      <c r="J334" s="7">
        <v>0.28000000000000003</v>
      </c>
      <c r="K334" s="20">
        <v>0.18</v>
      </c>
      <c r="L334" s="19">
        <v>179200</v>
      </c>
      <c r="M334" s="6">
        <v>165200</v>
      </c>
      <c r="N334" s="19">
        <v>-14000</v>
      </c>
      <c r="O334" s="19">
        <v>2897664000</v>
      </c>
      <c r="P334" s="19">
        <v>2804848200</v>
      </c>
      <c r="Q334" s="4">
        <v>16170</v>
      </c>
      <c r="R334" s="11">
        <v>16978.5</v>
      </c>
      <c r="S334" s="12">
        <v>808.5</v>
      </c>
      <c r="T334" s="3">
        <f t="shared" si="11"/>
        <v>-92815800</v>
      </c>
    </row>
    <row r="335" spans="1:20" x14ac:dyDescent="0.3">
      <c r="A335" s="45">
        <v>45017</v>
      </c>
      <c r="B335">
        <v>2023</v>
      </c>
      <c r="C335" s="18" t="str">
        <f t="shared" si="10"/>
        <v>Apr</v>
      </c>
      <c r="D335" t="s">
        <v>11</v>
      </c>
      <c r="E335" t="s">
        <v>22</v>
      </c>
      <c r="F335">
        <v>220</v>
      </c>
      <c r="G335" t="s">
        <v>34</v>
      </c>
      <c r="H335" t="s">
        <v>59</v>
      </c>
      <c r="I335" s="3">
        <v>140000</v>
      </c>
      <c r="J335" s="2">
        <v>0.28000000000000003</v>
      </c>
      <c r="K335" s="20">
        <v>0.18</v>
      </c>
      <c r="L335" s="19">
        <v>179200</v>
      </c>
      <c r="M335" s="3">
        <v>165200</v>
      </c>
      <c r="N335" s="19">
        <v>-14000</v>
      </c>
      <c r="O335" s="19">
        <v>3062886400</v>
      </c>
      <c r="P335" s="19">
        <v>2964778320.0000005</v>
      </c>
      <c r="Q335">
        <v>17092</v>
      </c>
      <c r="R335" s="11">
        <v>17946.600000000002</v>
      </c>
      <c r="S335" s="12">
        <v>854.60000000000218</v>
      </c>
      <c r="T335" s="3">
        <f t="shared" si="11"/>
        <v>-98108079.999999523</v>
      </c>
    </row>
    <row r="336" spans="1:20" x14ac:dyDescent="0.3">
      <c r="A336" s="46">
        <v>45047</v>
      </c>
      <c r="B336" s="4">
        <v>2023</v>
      </c>
      <c r="C336" s="18" t="str">
        <f t="shared" si="10"/>
        <v>May</v>
      </c>
      <c r="D336" s="4" t="s">
        <v>11</v>
      </c>
      <c r="E336" s="4" t="s">
        <v>22</v>
      </c>
      <c r="F336" s="4">
        <v>220</v>
      </c>
      <c r="G336" s="4" t="s">
        <v>34</v>
      </c>
      <c r="H336" t="s">
        <v>59</v>
      </c>
      <c r="I336" s="6">
        <v>140000</v>
      </c>
      <c r="J336" s="7">
        <v>0.28000000000000003</v>
      </c>
      <c r="K336" s="20">
        <v>0.18</v>
      </c>
      <c r="L336" s="19">
        <v>179200</v>
      </c>
      <c r="M336" s="6">
        <v>165200</v>
      </c>
      <c r="N336" s="19">
        <v>-14000</v>
      </c>
      <c r="O336" s="19">
        <v>2889420800</v>
      </c>
      <c r="P336" s="19">
        <v>2796869040</v>
      </c>
      <c r="Q336" s="4">
        <v>16124</v>
      </c>
      <c r="R336" s="11">
        <v>16930.2</v>
      </c>
      <c r="S336" s="12">
        <v>806.20000000000073</v>
      </c>
      <c r="T336" s="3">
        <f t="shared" si="11"/>
        <v>-92551760</v>
      </c>
    </row>
    <row r="337" spans="1:20" x14ac:dyDescent="0.3">
      <c r="A337" s="45">
        <v>45078</v>
      </c>
      <c r="B337">
        <v>2023</v>
      </c>
      <c r="C337" s="18" t="str">
        <f t="shared" si="10"/>
        <v>Jun</v>
      </c>
      <c r="D337" t="s">
        <v>11</v>
      </c>
      <c r="E337" t="s">
        <v>22</v>
      </c>
      <c r="F337">
        <v>220</v>
      </c>
      <c r="G337" t="s">
        <v>34</v>
      </c>
      <c r="H337" t="s">
        <v>59</v>
      </c>
      <c r="I337" s="3">
        <v>140000</v>
      </c>
      <c r="J337" s="2">
        <v>0.28000000000000003</v>
      </c>
      <c r="K337" s="20">
        <v>0.18</v>
      </c>
      <c r="L337" s="19">
        <v>179200</v>
      </c>
      <c r="M337" s="3">
        <v>165200</v>
      </c>
      <c r="N337" s="19">
        <v>-14000</v>
      </c>
      <c r="O337" s="19">
        <v>2713088000</v>
      </c>
      <c r="P337" s="19">
        <v>2626184400</v>
      </c>
      <c r="Q337">
        <v>15140</v>
      </c>
      <c r="R337" s="11">
        <v>15897</v>
      </c>
      <c r="S337" s="12">
        <v>757</v>
      </c>
      <c r="T337" s="3">
        <f t="shared" si="11"/>
        <v>-86903600</v>
      </c>
    </row>
    <row r="338" spans="1:20" x14ac:dyDescent="0.3">
      <c r="A338" s="46">
        <v>45108</v>
      </c>
      <c r="B338" s="4">
        <v>2023</v>
      </c>
      <c r="C338" s="18" t="str">
        <f t="shared" si="10"/>
        <v>Jul</v>
      </c>
      <c r="D338" s="4" t="s">
        <v>11</v>
      </c>
      <c r="E338" s="4" t="s">
        <v>22</v>
      </c>
      <c r="F338" s="4">
        <v>220</v>
      </c>
      <c r="G338" s="4" t="s">
        <v>34</v>
      </c>
      <c r="H338" t="s">
        <v>59</v>
      </c>
      <c r="I338" s="6">
        <v>140000</v>
      </c>
      <c r="J338" s="7">
        <v>0.28000000000000003</v>
      </c>
      <c r="K338" s="20">
        <v>0.18</v>
      </c>
      <c r="L338" s="19">
        <v>179200</v>
      </c>
      <c r="M338" s="6">
        <v>165200</v>
      </c>
      <c r="N338" s="19">
        <v>-14000</v>
      </c>
      <c r="O338" s="19">
        <v>2854656000</v>
      </c>
      <c r="P338" s="19">
        <v>2763217800</v>
      </c>
      <c r="Q338" s="4">
        <v>15930</v>
      </c>
      <c r="R338" s="11">
        <v>16726.5</v>
      </c>
      <c r="S338" s="12">
        <v>796.5</v>
      </c>
      <c r="T338" s="3">
        <f t="shared" si="11"/>
        <v>-91438200</v>
      </c>
    </row>
    <row r="339" spans="1:20" x14ac:dyDescent="0.3">
      <c r="A339" s="45">
        <v>45139</v>
      </c>
      <c r="B339">
        <v>2023</v>
      </c>
      <c r="C339" s="18" t="str">
        <f t="shared" si="10"/>
        <v>Aug</v>
      </c>
      <c r="D339" t="s">
        <v>11</v>
      </c>
      <c r="E339" t="s">
        <v>22</v>
      </c>
      <c r="F339">
        <v>220</v>
      </c>
      <c r="G339" t="s">
        <v>34</v>
      </c>
      <c r="H339" t="s">
        <v>59</v>
      </c>
      <c r="I339" s="3">
        <v>140000</v>
      </c>
      <c r="J339" s="2">
        <v>0.28000000000000003</v>
      </c>
      <c r="K339" s="20">
        <v>0.18</v>
      </c>
      <c r="L339" s="19">
        <v>179200</v>
      </c>
      <c r="M339" s="3">
        <v>165200</v>
      </c>
      <c r="N339" s="19">
        <v>-14000</v>
      </c>
      <c r="O339" s="19">
        <v>2253260800</v>
      </c>
      <c r="P339" s="19">
        <v>2181086040</v>
      </c>
      <c r="Q339">
        <v>12574</v>
      </c>
      <c r="R339" s="11">
        <v>13202.7</v>
      </c>
      <c r="S339" s="12">
        <v>628.70000000000073</v>
      </c>
      <c r="T339" s="3">
        <f t="shared" si="11"/>
        <v>-72174760</v>
      </c>
    </row>
    <row r="340" spans="1:20" x14ac:dyDescent="0.3">
      <c r="A340" s="46">
        <v>45170</v>
      </c>
      <c r="B340" s="4">
        <v>2023</v>
      </c>
      <c r="C340" s="18" t="str">
        <f t="shared" si="10"/>
        <v>Sep</v>
      </c>
      <c r="D340" s="4" t="s">
        <v>11</v>
      </c>
      <c r="E340" s="4" t="s">
        <v>22</v>
      </c>
      <c r="F340" s="4">
        <v>220</v>
      </c>
      <c r="G340" s="4" t="s">
        <v>34</v>
      </c>
      <c r="H340" t="s">
        <v>59</v>
      </c>
      <c r="I340" s="6">
        <v>140000</v>
      </c>
      <c r="J340" s="7">
        <v>0.28000000000000003</v>
      </c>
      <c r="K340" s="20">
        <v>0.18</v>
      </c>
      <c r="L340" s="19">
        <v>179200</v>
      </c>
      <c r="M340" s="6">
        <v>165200</v>
      </c>
      <c r="N340" s="19">
        <v>-14000</v>
      </c>
      <c r="O340" s="19">
        <v>2407014400</v>
      </c>
      <c r="P340" s="19">
        <v>2329914720</v>
      </c>
      <c r="Q340" s="4">
        <v>13432</v>
      </c>
      <c r="R340" s="11">
        <v>14103.6</v>
      </c>
      <c r="S340" s="12">
        <v>671.60000000000036</v>
      </c>
      <c r="T340" s="3">
        <f t="shared" si="11"/>
        <v>-77099680</v>
      </c>
    </row>
    <row r="341" spans="1:20" x14ac:dyDescent="0.3">
      <c r="A341" s="45">
        <v>45200</v>
      </c>
      <c r="B341">
        <v>2023</v>
      </c>
      <c r="C341" s="18" t="str">
        <f t="shared" si="10"/>
        <v>Oct</v>
      </c>
      <c r="D341" t="s">
        <v>11</v>
      </c>
      <c r="E341" t="s">
        <v>22</v>
      </c>
      <c r="F341">
        <v>220</v>
      </c>
      <c r="G341" t="s">
        <v>34</v>
      </c>
      <c r="H341" t="s">
        <v>59</v>
      </c>
      <c r="I341" s="3">
        <v>140000</v>
      </c>
      <c r="J341" s="2">
        <v>0.28000000000000003</v>
      </c>
      <c r="K341" s="20">
        <v>0.18</v>
      </c>
      <c r="L341" s="19">
        <v>179200</v>
      </c>
      <c r="M341" s="3">
        <v>165200</v>
      </c>
      <c r="N341" s="19">
        <v>-14000</v>
      </c>
      <c r="O341" s="19">
        <v>2334796800</v>
      </c>
      <c r="P341" s="19">
        <v>2260010340</v>
      </c>
      <c r="Q341">
        <v>13029</v>
      </c>
      <c r="R341" s="11">
        <v>13680.45</v>
      </c>
      <c r="S341" s="12">
        <v>651.45000000000073</v>
      </c>
      <c r="T341" s="3">
        <f t="shared" si="11"/>
        <v>-74786460</v>
      </c>
    </row>
    <row r="342" spans="1:20" x14ac:dyDescent="0.3">
      <c r="A342" s="46">
        <v>45231</v>
      </c>
      <c r="B342" s="4">
        <v>2023</v>
      </c>
      <c r="C342" s="18" t="str">
        <f t="shared" si="10"/>
        <v>Nov</v>
      </c>
      <c r="D342" s="4" t="s">
        <v>11</v>
      </c>
      <c r="E342" s="4" t="s">
        <v>22</v>
      </c>
      <c r="F342" s="4">
        <v>220</v>
      </c>
      <c r="G342" s="4" t="s">
        <v>34</v>
      </c>
      <c r="H342" t="s">
        <v>59</v>
      </c>
      <c r="I342" s="6">
        <v>140000</v>
      </c>
      <c r="J342" s="7">
        <v>0.28000000000000003</v>
      </c>
      <c r="K342" s="20">
        <v>0.18</v>
      </c>
      <c r="L342" s="19">
        <v>179200</v>
      </c>
      <c r="M342" s="6">
        <v>165200</v>
      </c>
      <c r="N342" s="19">
        <v>-14000</v>
      </c>
      <c r="O342" s="19">
        <v>2877235200</v>
      </c>
      <c r="P342" s="19">
        <v>2785073760</v>
      </c>
      <c r="Q342" s="4">
        <v>16056</v>
      </c>
      <c r="R342" s="11">
        <v>16858.8</v>
      </c>
      <c r="S342" s="12">
        <v>802.79999999999927</v>
      </c>
      <c r="T342" s="3">
        <f t="shared" si="11"/>
        <v>-92161440</v>
      </c>
    </row>
    <row r="343" spans="1:20" x14ac:dyDescent="0.3">
      <c r="A343" s="45">
        <v>45261</v>
      </c>
      <c r="B343">
        <v>2023</v>
      </c>
      <c r="C343" s="18" t="str">
        <f t="shared" si="10"/>
        <v>Dec</v>
      </c>
      <c r="D343" t="s">
        <v>11</v>
      </c>
      <c r="E343" t="s">
        <v>22</v>
      </c>
      <c r="F343">
        <v>220</v>
      </c>
      <c r="G343" t="s">
        <v>34</v>
      </c>
      <c r="H343" t="s">
        <v>59</v>
      </c>
      <c r="I343" s="3">
        <v>140000</v>
      </c>
      <c r="J343" s="2">
        <v>0.28000000000000003</v>
      </c>
      <c r="K343" s="20">
        <v>0.18</v>
      </c>
      <c r="L343" s="19">
        <v>179200</v>
      </c>
      <c r="M343" s="3">
        <v>165200</v>
      </c>
      <c r="N343" s="19">
        <v>-14000</v>
      </c>
      <c r="O343" s="19">
        <v>2685670400</v>
      </c>
      <c r="P343" s="19">
        <v>2599645020</v>
      </c>
      <c r="Q343">
        <v>14987</v>
      </c>
      <c r="R343" s="11">
        <v>15736.35</v>
      </c>
      <c r="S343" s="12">
        <v>749.35000000000036</v>
      </c>
      <c r="T343" s="3">
        <f t="shared" si="11"/>
        <v>-86025380</v>
      </c>
    </row>
    <row r="344" spans="1:20" x14ac:dyDescent="0.3">
      <c r="A344" s="46">
        <v>45292</v>
      </c>
      <c r="B344" s="4">
        <v>2024</v>
      </c>
      <c r="C344" s="18" t="str">
        <f t="shared" si="10"/>
        <v>Jan</v>
      </c>
      <c r="D344" s="4" t="s">
        <v>11</v>
      </c>
      <c r="E344" s="4" t="s">
        <v>22</v>
      </c>
      <c r="F344" s="4">
        <v>220</v>
      </c>
      <c r="G344" s="4" t="s">
        <v>34</v>
      </c>
      <c r="H344" t="s">
        <v>59</v>
      </c>
      <c r="I344" s="6">
        <v>140000</v>
      </c>
      <c r="J344" s="7">
        <v>0.28000000000000003</v>
      </c>
      <c r="K344" s="20">
        <v>0.18</v>
      </c>
      <c r="L344" s="19">
        <v>179200</v>
      </c>
      <c r="M344" s="6">
        <v>165200</v>
      </c>
      <c r="N344" s="19">
        <v>-14000</v>
      </c>
      <c r="O344" s="19">
        <v>2712012800</v>
      </c>
      <c r="P344" s="19">
        <v>2625143640</v>
      </c>
      <c r="Q344" s="4">
        <v>15134</v>
      </c>
      <c r="R344" s="11">
        <v>15890.7</v>
      </c>
      <c r="S344" s="12">
        <v>756.70000000000073</v>
      </c>
      <c r="T344" s="3">
        <f t="shared" si="11"/>
        <v>-86869160</v>
      </c>
    </row>
    <row r="345" spans="1:20" x14ac:dyDescent="0.3">
      <c r="A345" s="45">
        <v>45323</v>
      </c>
      <c r="B345">
        <v>2024</v>
      </c>
      <c r="C345" s="18" t="str">
        <f t="shared" si="10"/>
        <v>Feb</v>
      </c>
      <c r="D345" t="s">
        <v>11</v>
      </c>
      <c r="E345" t="s">
        <v>22</v>
      </c>
      <c r="F345">
        <v>220</v>
      </c>
      <c r="G345" t="s">
        <v>34</v>
      </c>
      <c r="H345" t="s">
        <v>59</v>
      </c>
      <c r="I345" s="3">
        <v>140000</v>
      </c>
      <c r="J345" s="2">
        <v>0.28000000000000003</v>
      </c>
      <c r="K345" s="20">
        <v>0.18</v>
      </c>
      <c r="L345" s="19">
        <v>179200</v>
      </c>
      <c r="M345" s="3">
        <v>165200</v>
      </c>
      <c r="N345" s="19">
        <v>-14000</v>
      </c>
      <c r="O345" s="19">
        <v>2763801600</v>
      </c>
      <c r="P345" s="19">
        <v>2675273580.0000005</v>
      </c>
      <c r="Q345">
        <v>15423</v>
      </c>
      <c r="R345" s="11">
        <v>16194.150000000001</v>
      </c>
      <c r="S345" s="12">
        <v>771.15000000000146</v>
      </c>
      <c r="T345" s="3">
        <f t="shared" si="11"/>
        <v>-88528019.999999523</v>
      </c>
    </row>
    <row r="346" spans="1:20" x14ac:dyDescent="0.3">
      <c r="A346" s="46">
        <v>45352</v>
      </c>
      <c r="B346" s="4">
        <v>2024</v>
      </c>
      <c r="C346" s="18" t="str">
        <f t="shared" si="10"/>
        <v>Mar</v>
      </c>
      <c r="D346" s="4" t="s">
        <v>11</v>
      </c>
      <c r="E346" s="4" t="s">
        <v>22</v>
      </c>
      <c r="F346" s="4">
        <v>220</v>
      </c>
      <c r="G346" s="4" t="s">
        <v>34</v>
      </c>
      <c r="H346" t="s">
        <v>59</v>
      </c>
      <c r="I346" s="6">
        <v>140000</v>
      </c>
      <c r="J346" s="7">
        <v>0.28000000000000003</v>
      </c>
      <c r="K346" s="20">
        <v>0.18</v>
      </c>
      <c r="L346" s="19">
        <v>179200</v>
      </c>
      <c r="M346" s="6">
        <v>165200</v>
      </c>
      <c r="N346" s="19">
        <v>-14000</v>
      </c>
      <c r="O346" s="19">
        <v>2388198400</v>
      </c>
      <c r="P346" s="19">
        <v>2311701420</v>
      </c>
      <c r="Q346" s="4">
        <v>13327</v>
      </c>
      <c r="R346" s="11">
        <v>13993.35</v>
      </c>
      <c r="S346" s="12">
        <v>666.35000000000036</v>
      </c>
      <c r="T346" s="3">
        <f t="shared" si="11"/>
        <v>-76496980</v>
      </c>
    </row>
    <row r="347" spans="1:20" x14ac:dyDescent="0.3">
      <c r="A347" s="45">
        <v>45383</v>
      </c>
      <c r="B347">
        <v>2024</v>
      </c>
      <c r="C347" s="18" t="str">
        <f t="shared" si="10"/>
        <v>Apr</v>
      </c>
      <c r="D347" t="s">
        <v>11</v>
      </c>
      <c r="E347" t="s">
        <v>22</v>
      </c>
      <c r="F347">
        <v>220</v>
      </c>
      <c r="G347" t="s">
        <v>34</v>
      </c>
      <c r="H347" t="s">
        <v>59</v>
      </c>
      <c r="I347" s="3">
        <v>140000</v>
      </c>
      <c r="J347" s="2">
        <v>0.28000000000000003</v>
      </c>
      <c r="K347" s="20">
        <v>0.18</v>
      </c>
      <c r="L347" s="19">
        <v>179200</v>
      </c>
      <c r="M347" s="3">
        <v>165200</v>
      </c>
      <c r="N347" s="19">
        <v>-14000</v>
      </c>
      <c r="O347" s="19">
        <v>3299251200</v>
      </c>
      <c r="P347" s="19">
        <v>3193572060</v>
      </c>
      <c r="Q347">
        <v>18411</v>
      </c>
      <c r="R347" s="11">
        <v>19331.55</v>
      </c>
      <c r="S347" s="12">
        <v>920.54999999999927</v>
      </c>
      <c r="T347" s="3">
        <f t="shared" si="11"/>
        <v>-105679140</v>
      </c>
    </row>
    <row r="348" spans="1:20" x14ac:dyDescent="0.3">
      <c r="A348" s="46">
        <v>45413</v>
      </c>
      <c r="B348" s="4">
        <v>2024</v>
      </c>
      <c r="C348" s="18" t="str">
        <f t="shared" si="10"/>
        <v>May</v>
      </c>
      <c r="D348" s="4" t="s">
        <v>11</v>
      </c>
      <c r="E348" s="4" t="s">
        <v>22</v>
      </c>
      <c r="F348" s="4">
        <v>220</v>
      </c>
      <c r="G348" s="4" t="s">
        <v>34</v>
      </c>
      <c r="H348" t="s">
        <v>59</v>
      </c>
      <c r="I348" s="6">
        <v>140000</v>
      </c>
      <c r="J348" s="7">
        <v>0.28000000000000003</v>
      </c>
      <c r="K348" s="20">
        <v>0.18</v>
      </c>
      <c r="L348" s="19">
        <v>179200</v>
      </c>
      <c r="M348" s="6">
        <v>165200</v>
      </c>
      <c r="N348" s="19">
        <v>-14000</v>
      </c>
      <c r="O348" s="19">
        <v>2733516800</v>
      </c>
      <c r="P348" s="19">
        <v>2645958840</v>
      </c>
      <c r="Q348" s="4">
        <v>15254</v>
      </c>
      <c r="R348" s="11">
        <v>16016.7</v>
      </c>
      <c r="S348" s="12">
        <v>762.70000000000073</v>
      </c>
      <c r="T348" s="3">
        <f t="shared" si="11"/>
        <v>-87557960</v>
      </c>
    </row>
    <row r="349" spans="1:20" x14ac:dyDescent="0.3">
      <c r="A349" s="45">
        <v>45444</v>
      </c>
      <c r="B349">
        <v>2024</v>
      </c>
      <c r="C349" s="18" t="str">
        <f t="shared" si="10"/>
        <v>Jun</v>
      </c>
      <c r="D349" t="s">
        <v>11</v>
      </c>
      <c r="E349" t="s">
        <v>22</v>
      </c>
      <c r="F349">
        <v>220</v>
      </c>
      <c r="G349" t="s">
        <v>34</v>
      </c>
      <c r="H349" t="s">
        <v>59</v>
      </c>
      <c r="I349" s="3">
        <v>140000</v>
      </c>
      <c r="J349" s="2">
        <v>0.28000000000000003</v>
      </c>
      <c r="K349" s="20">
        <v>0.18</v>
      </c>
      <c r="L349" s="19">
        <v>179200</v>
      </c>
      <c r="M349" s="3">
        <v>165200</v>
      </c>
      <c r="N349" s="19">
        <v>-14000</v>
      </c>
      <c r="O349" s="19">
        <v>2752332800</v>
      </c>
      <c r="P349" s="19">
        <v>2664172140</v>
      </c>
      <c r="Q349">
        <v>15359</v>
      </c>
      <c r="R349" s="11">
        <v>16126.95</v>
      </c>
      <c r="S349" s="12">
        <v>767.95000000000073</v>
      </c>
      <c r="T349" s="3">
        <f t="shared" si="11"/>
        <v>-88160660</v>
      </c>
    </row>
    <row r="350" spans="1:20" x14ac:dyDescent="0.3">
      <c r="A350" s="46">
        <v>45474</v>
      </c>
      <c r="B350" s="4">
        <v>2024</v>
      </c>
      <c r="C350" s="18" t="str">
        <f t="shared" si="10"/>
        <v>Jul</v>
      </c>
      <c r="D350" s="4" t="s">
        <v>11</v>
      </c>
      <c r="E350" s="4" t="s">
        <v>22</v>
      </c>
      <c r="F350" s="4">
        <v>220</v>
      </c>
      <c r="G350" s="4" t="s">
        <v>34</v>
      </c>
      <c r="H350" t="s">
        <v>59</v>
      </c>
      <c r="I350" s="6">
        <v>140000</v>
      </c>
      <c r="J350" s="7">
        <v>0.28000000000000003</v>
      </c>
      <c r="K350" s="20">
        <v>0.18</v>
      </c>
      <c r="L350" s="19">
        <v>179200</v>
      </c>
      <c r="M350" s="6">
        <v>165200</v>
      </c>
      <c r="N350" s="19">
        <v>-14000</v>
      </c>
      <c r="O350" s="19">
        <v>2636569600</v>
      </c>
      <c r="P350" s="19">
        <v>2552116980.0000005</v>
      </c>
      <c r="Q350" s="4">
        <v>14713</v>
      </c>
      <c r="R350" s="11">
        <v>15448.650000000001</v>
      </c>
      <c r="S350" s="12">
        <v>735.65000000000146</v>
      </c>
      <c r="T350" s="3">
        <f t="shared" si="11"/>
        <v>-84452619.999999523</v>
      </c>
    </row>
    <row r="351" spans="1:20" x14ac:dyDescent="0.3">
      <c r="A351" s="45">
        <v>45505</v>
      </c>
      <c r="B351">
        <v>2024</v>
      </c>
      <c r="C351" s="18" t="str">
        <f t="shared" si="10"/>
        <v>Aug</v>
      </c>
      <c r="D351" t="s">
        <v>11</v>
      </c>
      <c r="E351" t="s">
        <v>22</v>
      </c>
      <c r="F351">
        <v>220</v>
      </c>
      <c r="G351" t="s">
        <v>34</v>
      </c>
      <c r="H351" t="s">
        <v>59</v>
      </c>
      <c r="I351" s="3">
        <v>140000</v>
      </c>
      <c r="J351" s="2">
        <v>0.28000000000000003</v>
      </c>
      <c r="K351" s="20">
        <v>0.18</v>
      </c>
      <c r="L351" s="19">
        <v>179200</v>
      </c>
      <c r="M351" s="3">
        <v>165200</v>
      </c>
      <c r="N351" s="19">
        <v>-14000</v>
      </c>
      <c r="O351" s="19">
        <v>2193228800</v>
      </c>
      <c r="P351" s="19">
        <v>2122976940.0000002</v>
      </c>
      <c r="Q351">
        <v>12239</v>
      </c>
      <c r="R351" s="11">
        <v>12850.95</v>
      </c>
      <c r="S351" s="12">
        <v>611.95000000000073</v>
      </c>
      <c r="T351" s="3">
        <f t="shared" si="11"/>
        <v>-70251859.999999762</v>
      </c>
    </row>
    <row r="352" spans="1:20" x14ac:dyDescent="0.3">
      <c r="A352" s="46">
        <v>45536</v>
      </c>
      <c r="B352" s="4">
        <v>2024</v>
      </c>
      <c r="C352" s="18" t="str">
        <f t="shared" si="10"/>
        <v>Sep</v>
      </c>
      <c r="D352" s="4" t="s">
        <v>11</v>
      </c>
      <c r="E352" s="4" t="s">
        <v>22</v>
      </c>
      <c r="F352" s="4">
        <v>220</v>
      </c>
      <c r="G352" s="4" t="s">
        <v>34</v>
      </c>
      <c r="H352" t="s">
        <v>59</v>
      </c>
      <c r="I352" s="6">
        <v>140000</v>
      </c>
      <c r="J352" s="7">
        <v>0.28000000000000003</v>
      </c>
      <c r="K352" s="20">
        <v>0.18</v>
      </c>
      <c r="L352" s="19">
        <v>179200</v>
      </c>
      <c r="M352" s="6">
        <v>165200</v>
      </c>
      <c r="N352" s="19">
        <v>-14000</v>
      </c>
      <c r="O352" s="19">
        <v>2140902400</v>
      </c>
      <c r="P352" s="19">
        <v>2072326620</v>
      </c>
      <c r="Q352" s="4">
        <v>11947</v>
      </c>
      <c r="R352" s="11">
        <v>12544.35</v>
      </c>
      <c r="S352" s="12">
        <v>597.35000000000036</v>
      </c>
      <c r="T352" s="3">
        <f t="shared" si="11"/>
        <v>-68575780</v>
      </c>
    </row>
    <row r="353" spans="1:20" x14ac:dyDescent="0.3">
      <c r="A353" s="45">
        <v>45566</v>
      </c>
      <c r="B353">
        <v>2024</v>
      </c>
      <c r="C353" s="18" t="str">
        <f t="shared" si="10"/>
        <v>Oct</v>
      </c>
      <c r="D353" t="s">
        <v>11</v>
      </c>
      <c r="E353" t="s">
        <v>22</v>
      </c>
      <c r="F353">
        <v>220</v>
      </c>
      <c r="G353" t="s">
        <v>34</v>
      </c>
      <c r="H353" t="s">
        <v>59</v>
      </c>
      <c r="I353" s="3">
        <v>140000</v>
      </c>
      <c r="J353" s="2">
        <v>0.28000000000000003</v>
      </c>
      <c r="K353" s="20">
        <v>0.18</v>
      </c>
      <c r="L353" s="19">
        <v>179200</v>
      </c>
      <c r="M353" s="3">
        <v>165200</v>
      </c>
      <c r="N353" s="19">
        <v>-14000</v>
      </c>
      <c r="O353" s="19">
        <v>2411136000</v>
      </c>
      <c r="P353" s="19">
        <v>2333904300</v>
      </c>
      <c r="Q353">
        <v>13455</v>
      </c>
      <c r="R353" s="11">
        <v>14127.75</v>
      </c>
      <c r="S353" s="12">
        <v>672.75</v>
      </c>
      <c r="T353" s="3">
        <f t="shared" si="11"/>
        <v>-77231700</v>
      </c>
    </row>
    <row r="354" spans="1:20" x14ac:dyDescent="0.3">
      <c r="A354" s="46">
        <v>45597</v>
      </c>
      <c r="B354" s="4">
        <v>2024</v>
      </c>
      <c r="C354" s="18" t="str">
        <f t="shared" si="10"/>
        <v>Nov</v>
      </c>
      <c r="D354" s="4" t="s">
        <v>11</v>
      </c>
      <c r="E354" s="4" t="s">
        <v>22</v>
      </c>
      <c r="F354" s="4">
        <v>220</v>
      </c>
      <c r="G354" s="4" t="s">
        <v>34</v>
      </c>
      <c r="H354" t="s">
        <v>59</v>
      </c>
      <c r="I354" s="6">
        <v>140000</v>
      </c>
      <c r="J354" s="7">
        <v>0.28000000000000003</v>
      </c>
      <c r="K354" s="20">
        <v>0.18</v>
      </c>
      <c r="L354" s="19">
        <v>179200</v>
      </c>
      <c r="M354" s="6">
        <v>165200</v>
      </c>
      <c r="N354" s="19">
        <v>-14000</v>
      </c>
      <c r="O354" s="19">
        <v>2365977600</v>
      </c>
      <c r="P354" s="19">
        <v>2290192380.0000005</v>
      </c>
      <c r="Q354" s="4">
        <v>13203</v>
      </c>
      <c r="R354" s="11">
        <v>13863.150000000001</v>
      </c>
      <c r="S354" s="12">
        <v>660.15000000000146</v>
      </c>
      <c r="T354" s="3">
        <f t="shared" si="11"/>
        <v>-75785219.999999523</v>
      </c>
    </row>
    <row r="355" spans="1:20" x14ac:dyDescent="0.3">
      <c r="A355" s="45">
        <v>45627</v>
      </c>
      <c r="B355">
        <v>2024</v>
      </c>
      <c r="C355" s="18" t="str">
        <f t="shared" si="10"/>
        <v>Dec</v>
      </c>
      <c r="D355" t="s">
        <v>11</v>
      </c>
      <c r="E355" t="s">
        <v>22</v>
      </c>
      <c r="F355">
        <v>220</v>
      </c>
      <c r="G355" t="s">
        <v>34</v>
      </c>
      <c r="H355" t="s">
        <v>59</v>
      </c>
      <c r="I355" s="3">
        <v>140000</v>
      </c>
      <c r="J355" s="2">
        <v>0.28000000000000003</v>
      </c>
      <c r="K355" s="20">
        <v>0.18</v>
      </c>
      <c r="L355" s="19">
        <v>179200</v>
      </c>
      <c r="M355" s="3">
        <v>165200</v>
      </c>
      <c r="N355" s="19">
        <v>-14000</v>
      </c>
      <c r="O355" s="19">
        <v>2503961600</v>
      </c>
      <c r="P355" s="19">
        <v>2423756580.0000005</v>
      </c>
      <c r="Q355">
        <v>13973</v>
      </c>
      <c r="R355" s="11">
        <v>14671.650000000001</v>
      </c>
      <c r="S355" s="12">
        <v>698.65000000000146</v>
      </c>
      <c r="T355" s="3">
        <f t="shared" si="11"/>
        <v>-80205019.999999523</v>
      </c>
    </row>
    <row r="356" spans="1:20" x14ac:dyDescent="0.3">
      <c r="A356" s="46">
        <v>45658</v>
      </c>
      <c r="B356" s="4">
        <v>2025</v>
      </c>
      <c r="C356" s="18" t="str">
        <f t="shared" si="10"/>
        <v>Jan</v>
      </c>
      <c r="D356" s="4" t="s">
        <v>11</v>
      </c>
      <c r="E356" s="4" t="s">
        <v>22</v>
      </c>
      <c r="F356" s="4">
        <v>220</v>
      </c>
      <c r="G356" s="4" t="s">
        <v>34</v>
      </c>
      <c r="H356" t="s">
        <v>59</v>
      </c>
      <c r="I356" s="6">
        <v>140000</v>
      </c>
      <c r="J356" s="7">
        <v>0.28000000000000003</v>
      </c>
      <c r="K356" s="20">
        <v>0.18</v>
      </c>
      <c r="L356" s="19">
        <v>179200</v>
      </c>
      <c r="M356" s="6">
        <v>165200</v>
      </c>
      <c r="N356" s="19">
        <v>-14000</v>
      </c>
      <c r="O356" s="19">
        <v>2625996800</v>
      </c>
      <c r="P356" s="19">
        <v>2541882840</v>
      </c>
      <c r="Q356" s="4">
        <v>14654</v>
      </c>
      <c r="R356" s="11">
        <v>15386.7</v>
      </c>
      <c r="S356" s="12">
        <v>732.70000000000073</v>
      </c>
      <c r="T356" s="3">
        <f t="shared" si="11"/>
        <v>-84113960</v>
      </c>
    </row>
    <row r="357" spans="1:20" x14ac:dyDescent="0.3">
      <c r="A357" s="45">
        <v>45689</v>
      </c>
      <c r="B357">
        <v>2025</v>
      </c>
      <c r="C357" s="18" t="str">
        <f t="shared" si="10"/>
        <v>Feb</v>
      </c>
      <c r="D357" t="s">
        <v>11</v>
      </c>
      <c r="E357" t="s">
        <v>22</v>
      </c>
      <c r="F357">
        <v>220</v>
      </c>
      <c r="G357" t="s">
        <v>34</v>
      </c>
      <c r="H357" t="s">
        <v>59</v>
      </c>
      <c r="I357" s="3">
        <v>140000</v>
      </c>
      <c r="J357" s="2">
        <v>0.28000000000000003</v>
      </c>
      <c r="K357" s="20">
        <v>0.18</v>
      </c>
      <c r="L357" s="19">
        <v>179200</v>
      </c>
      <c r="M357" s="3">
        <v>165200</v>
      </c>
      <c r="N357" s="19">
        <v>-14000</v>
      </c>
      <c r="O357" s="19">
        <v>3789184000</v>
      </c>
      <c r="P357" s="19">
        <v>3667811700</v>
      </c>
      <c r="Q357">
        <v>21145</v>
      </c>
      <c r="R357" s="11">
        <v>22202.25</v>
      </c>
      <c r="S357" s="12">
        <v>1057.25</v>
      </c>
      <c r="T357" s="3">
        <f t="shared" si="11"/>
        <v>-121372300</v>
      </c>
    </row>
    <row r="358" spans="1:20" x14ac:dyDescent="0.3">
      <c r="A358" s="46">
        <v>45717</v>
      </c>
      <c r="B358" s="4">
        <v>2025</v>
      </c>
      <c r="C358" s="18" t="str">
        <f t="shared" si="10"/>
        <v>Mar</v>
      </c>
      <c r="D358" s="4" t="s">
        <v>11</v>
      </c>
      <c r="E358" s="4" t="s">
        <v>22</v>
      </c>
      <c r="F358" s="4">
        <v>220</v>
      </c>
      <c r="G358" s="4" t="s">
        <v>34</v>
      </c>
      <c r="H358" t="s">
        <v>59</v>
      </c>
      <c r="I358" s="6">
        <v>140000</v>
      </c>
      <c r="J358" s="7">
        <v>0.28000000000000003</v>
      </c>
      <c r="K358" s="20">
        <v>0.18</v>
      </c>
      <c r="L358" s="19">
        <v>179200</v>
      </c>
      <c r="M358" s="6">
        <v>165200</v>
      </c>
      <c r="N358" s="19">
        <v>-14000</v>
      </c>
      <c r="O358" s="19">
        <v>3365376000</v>
      </c>
      <c r="P358" s="19">
        <v>3257578800</v>
      </c>
      <c r="Q358" s="4">
        <v>18780</v>
      </c>
      <c r="R358" s="11">
        <v>19719</v>
      </c>
      <c r="S358" s="12">
        <v>939</v>
      </c>
      <c r="T358" s="3">
        <f t="shared" si="11"/>
        <v>-107797200</v>
      </c>
    </row>
    <row r="359" spans="1:20" x14ac:dyDescent="0.3">
      <c r="A359" s="45">
        <v>45748</v>
      </c>
      <c r="B359">
        <v>2025</v>
      </c>
      <c r="C359" s="18" t="str">
        <f t="shared" si="10"/>
        <v>Apr</v>
      </c>
      <c r="D359" t="s">
        <v>11</v>
      </c>
      <c r="E359" t="s">
        <v>22</v>
      </c>
      <c r="F359">
        <v>220</v>
      </c>
      <c r="G359" t="s">
        <v>34</v>
      </c>
      <c r="H359" t="s">
        <v>59</v>
      </c>
      <c r="I359" s="3">
        <v>140000</v>
      </c>
      <c r="J359" s="2">
        <v>0.28000000000000003</v>
      </c>
      <c r="K359" s="20">
        <v>0.18</v>
      </c>
      <c r="L359" s="19">
        <v>179200</v>
      </c>
      <c r="M359" s="3">
        <v>165200</v>
      </c>
      <c r="N359" s="19">
        <v>-14000</v>
      </c>
      <c r="O359" s="19">
        <v>3051059200</v>
      </c>
      <c r="P359" s="19">
        <v>2953329960</v>
      </c>
      <c r="Q359">
        <v>17026</v>
      </c>
      <c r="R359" s="11">
        <v>17877.3</v>
      </c>
      <c r="S359" s="12">
        <v>851.29999999999927</v>
      </c>
      <c r="T359" s="3">
        <f t="shared" si="11"/>
        <v>-97729240</v>
      </c>
    </row>
    <row r="360" spans="1:20" x14ac:dyDescent="0.3">
      <c r="A360" s="46">
        <v>45778</v>
      </c>
      <c r="B360" s="4">
        <v>2025</v>
      </c>
      <c r="C360" s="18" t="str">
        <f t="shared" si="10"/>
        <v>May</v>
      </c>
      <c r="D360" s="4" t="s">
        <v>11</v>
      </c>
      <c r="E360" s="4" t="s">
        <v>22</v>
      </c>
      <c r="F360" s="4">
        <v>220</v>
      </c>
      <c r="G360" s="4" t="s">
        <v>34</v>
      </c>
      <c r="H360" t="s">
        <v>59</v>
      </c>
      <c r="I360" s="6">
        <v>140000</v>
      </c>
      <c r="J360" s="7">
        <v>0.28000000000000003</v>
      </c>
      <c r="K360" s="20">
        <v>0.18</v>
      </c>
      <c r="L360" s="19">
        <v>179200</v>
      </c>
      <c r="M360" s="6">
        <v>165200</v>
      </c>
      <c r="N360" s="19">
        <v>-14000</v>
      </c>
      <c r="O360" s="19">
        <v>3126144000</v>
      </c>
      <c r="P360" s="19">
        <v>3026009700</v>
      </c>
      <c r="Q360" s="4">
        <v>17445</v>
      </c>
      <c r="R360" s="11">
        <v>18317.25</v>
      </c>
      <c r="S360" s="12">
        <v>872.25</v>
      </c>
      <c r="T360" s="3">
        <f t="shared" si="11"/>
        <v>-100134300</v>
      </c>
    </row>
    <row r="361" spans="1:20" x14ac:dyDescent="0.3">
      <c r="A361" s="45">
        <v>45809</v>
      </c>
      <c r="B361">
        <v>2025</v>
      </c>
      <c r="C361" s="18" t="str">
        <f t="shared" si="10"/>
        <v>Jun</v>
      </c>
      <c r="D361" t="s">
        <v>11</v>
      </c>
      <c r="E361" t="s">
        <v>22</v>
      </c>
      <c r="F361">
        <v>220</v>
      </c>
      <c r="G361" t="s">
        <v>34</v>
      </c>
      <c r="H361" t="s">
        <v>59</v>
      </c>
      <c r="I361" s="3">
        <v>140000</v>
      </c>
      <c r="J361" s="2">
        <v>0.28000000000000003</v>
      </c>
      <c r="K361" s="20">
        <v>0.18</v>
      </c>
      <c r="L361" s="19">
        <v>179200</v>
      </c>
      <c r="M361" s="3">
        <v>165200</v>
      </c>
      <c r="N361" s="19">
        <v>-14000</v>
      </c>
      <c r="O361" s="19">
        <v>2258816000</v>
      </c>
      <c r="P361" s="19">
        <v>2186463300</v>
      </c>
      <c r="Q361">
        <v>12605</v>
      </c>
      <c r="R361" s="11">
        <v>13235.25</v>
      </c>
      <c r="S361" s="12">
        <v>630.25</v>
      </c>
      <c r="T361" s="3">
        <f t="shared" si="11"/>
        <v>-72352700</v>
      </c>
    </row>
    <row r="362" spans="1:20" x14ac:dyDescent="0.3">
      <c r="A362" s="46">
        <v>45839</v>
      </c>
      <c r="B362" s="4">
        <v>2025</v>
      </c>
      <c r="C362" s="18" t="str">
        <f t="shared" si="10"/>
        <v>Jul</v>
      </c>
      <c r="D362" s="4" t="s">
        <v>11</v>
      </c>
      <c r="E362" s="4" t="s">
        <v>22</v>
      </c>
      <c r="F362" s="4">
        <v>220</v>
      </c>
      <c r="G362" s="4" t="s">
        <v>34</v>
      </c>
      <c r="H362" t="s">
        <v>59</v>
      </c>
      <c r="I362" s="6">
        <v>140000</v>
      </c>
      <c r="J362" s="7">
        <v>0.28000000000000003</v>
      </c>
      <c r="K362" s="20">
        <v>0.18</v>
      </c>
      <c r="L362" s="19">
        <v>179200</v>
      </c>
      <c r="M362" s="6">
        <v>165200</v>
      </c>
      <c r="N362" s="19">
        <v>-14000</v>
      </c>
      <c r="O362" s="19">
        <v>2140364800</v>
      </c>
      <c r="P362" s="19">
        <v>2071806240.0000002</v>
      </c>
      <c r="Q362" s="4">
        <v>11944</v>
      </c>
      <c r="R362" s="11">
        <v>12541.2</v>
      </c>
      <c r="S362" s="12">
        <v>597.20000000000073</v>
      </c>
      <c r="T362" s="3">
        <f t="shared" si="11"/>
        <v>-68558559.999999762</v>
      </c>
    </row>
    <row r="363" spans="1:20" x14ac:dyDescent="0.3">
      <c r="A363" s="45">
        <v>45870</v>
      </c>
      <c r="B363">
        <v>2025</v>
      </c>
      <c r="C363" s="18" t="str">
        <f t="shared" si="10"/>
        <v>Aug</v>
      </c>
      <c r="D363" t="s">
        <v>11</v>
      </c>
      <c r="E363" t="s">
        <v>22</v>
      </c>
      <c r="F363">
        <v>220</v>
      </c>
      <c r="G363" t="s">
        <v>34</v>
      </c>
      <c r="H363" t="s">
        <v>59</v>
      </c>
      <c r="I363" s="3">
        <v>140000</v>
      </c>
      <c r="J363" s="2">
        <v>0.28000000000000003</v>
      </c>
      <c r="K363" s="20">
        <v>0.18</v>
      </c>
      <c r="L363" s="19">
        <v>179200</v>
      </c>
      <c r="M363" s="3">
        <v>165200</v>
      </c>
      <c r="N363" s="19">
        <v>-14000</v>
      </c>
      <c r="O363" s="19">
        <v>2387660800</v>
      </c>
      <c r="P363" s="19">
        <v>2311181040</v>
      </c>
      <c r="Q363">
        <v>13324</v>
      </c>
      <c r="R363" s="11">
        <v>13990.2</v>
      </c>
      <c r="S363" s="12">
        <v>666.20000000000073</v>
      </c>
      <c r="T363" s="3">
        <f t="shared" si="11"/>
        <v>-76479760</v>
      </c>
    </row>
    <row r="364" spans="1:20" x14ac:dyDescent="0.3">
      <c r="A364" s="46">
        <v>45901</v>
      </c>
      <c r="B364" s="4">
        <v>2025</v>
      </c>
      <c r="C364" s="18" t="str">
        <f t="shared" si="10"/>
        <v>Sep</v>
      </c>
      <c r="D364" s="4" t="s">
        <v>11</v>
      </c>
      <c r="E364" s="4" t="s">
        <v>22</v>
      </c>
      <c r="F364" s="4">
        <v>220</v>
      </c>
      <c r="G364" s="4" t="s">
        <v>34</v>
      </c>
      <c r="H364" t="s">
        <v>59</v>
      </c>
      <c r="I364" s="6">
        <v>140000</v>
      </c>
      <c r="J364" s="7">
        <v>0.28000000000000003</v>
      </c>
      <c r="K364" s="20">
        <v>0.18</v>
      </c>
      <c r="L364" s="19">
        <v>179200</v>
      </c>
      <c r="M364" s="6">
        <v>165200</v>
      </c>
      <c r="N364" s="19">
        <v>-14000</v>
      </c>
      <c r="O364" s="19">
        <v>2358809600</v>
      </c>
      <c r="P364" s="19">
        <v>2283253980.0000005</v>
      </c>
      <c r="Q364" s="4">
        <v>13163</v>
      </c>
      <c r="R364" s="11">
        <v>13821.150000000001</v>
      </c>
      <c r="S364" s="12">
        <v>658.15000000000146</v>
      </c>
      <c r="T364" s="3">
        <f t="shared" si="11"/>
        <v>-75555619.999999523</v>
      </c>
    </row>
    <row r="365" spans="1:20" x14ac:dyDescent="0.3">
      <c r="A365" s="45">
        <v>44927</v>
      </c>
      <c r="B365">
        <v>2023</v>
      </c>
      <c r="C365" s="18" t="str">
        <f t="shared" si="10"/>
        <v>Jan</v>
      </c>
      <c r="D365" t="s">
        <v>11</v>
      </c>
      <c r="E365" t="s">
        <v>23</v>
      </c>
      <c r="F365">
        <v>248</v>
      </c>
      <c r="G365" t="s">
        <v>34</v>
      </c>
      <c r="H365" t="s">
        <v>59</v>
      </c>
      <c r="I365" s="3">
        <v>180000</v>
      </c>
      <c r="J365" s="2">
        <v>0.28000000000000003</v>
      </c>
      <c r="K365" s="20">
        <v>0.18</v>
      </c>
      <c r="L365" s="19">
        <v>230400</v>
      </c>
      <c r="M365" s="3">
        <v>212400</v>
      </c>
      <c r="N365" s="19">
        <v>-18000</v>
      </c>
      <c r="O365" s="19">
        <v>3123302400</v>
      </c>
      <c r="P365" s="19">
        <v>3023259120</v>
      </c>
      <c r="Q365">
        <v>13556</v>
      </c>
      <c r="R365" s="11">
        <v>14233.800000000001</v>
      </c>
      <c r="S365" s="12">
        <v>677.80000000000109</v>
      </c>
      <c r="T365" s="3">
        <f t="shared" si="11"/>
        <v>-100043280</v>
      </c>
    </row>
    <row r="366" spans="1:20" x14ac:dyDescent="0.3">
      <c r="A366" s="46">
        <v>44958</v>
      </c>
      <c r="B366" s="4">
        <v>2023</v>
      </c>
      <c r="C366" s="18" t="str">
        <f t="shared" si="10"/>
        <v>Feb</v>
      </c>
      <c r="D366" s="4" t="s">
        <v>11</v>
      </c>
      <c r="E366" s="4" t="s">
        <v>23</v>
      </c>
      <c r="F366" s="4">
        <v>248</v>
      </c>
      <c r="G366" s="4" t="s">
        <v>34</v>
      </c>
      <c r="H366" t="s">
        <v>59</v>
      </c>
      <c r="I366" s="6">
        <v>180000</v>
      </c>
      <c r="J366" s="7">
        <v>0.28000000000000003</v>
      </c>
      <c r="K366" s="20">
        <v>0.18</v>
      </c>
      <c r="L366" s="19">
        <v>230400</v>
      </c>
      <c r="M366" s="6">
        <v>212400</v>
      </c>
      <c r="N366" s="19">
        <v>-18000</v>
      </c>
      <c r="O366" s="19">
        <v>2132121600</v>
      </c>
      <c r="P366" s="19">
        <v>2063827080.0000002</v>
      </c>
      <c r="Q366" s="4">
        <v>9254</v>
      </c>
      <c r="R366" s="11">
        <v>9716.7000000000007</v>
      </c>
      <c r="S366" s="12">
        <v>462.70000000000073</v>
      </c>
      <c r="T366" s="3">
        <f t="shared" si="11"/>
        <v>-68294519.999999762</v>
      </c>
    </row>
    <row r="367" spans="1:20" x14ac:dyDescent="0.3">
      <c r="A367" s="45">
        <v>44986</v>
      </c>
      <c r="B367">
        <v>2023</v>
      </c>
      <c r="C367" s="18" t="str">
        <f t="shared" si="10"/>
        <v>Mar</v>
      </c>
      <c r="D367" t="s">
        <v>11</v>
      </c>
      <c r="E367" t="s">
        <v>23</v>
      </c>
      <c r="F367">
        <v>248</v>
      </c>
      <c r="G367" t="s">
        <v>34</v>
      </c>
      <c r="H367" t="s">
        <v>59</v>
      </c>
      <c r="I367" s="3">
        <v>180000</v>
      </c>
      <c r="J367" s="2">
        <v>0.28000000000000003</v>
      </c>
      <c r="K367" s="20">
        <v>0.18</v>
      </c>
      <c r="L367" s="19">
        <v>230400</v>
      </c>
      <c r="M367" s="3">
        <v>212400</v>
      </c>
      <c r="N367" s="19">
        <v>-18000</v>
      </c>
      <c r="O367" s="19">
        <v>2639001600</v>
      </c>
      <c r="P367" s="19">
        <v>2554471080</v>
      </c>
      <c r="Q367">
        <v>11454</v>
      </c>
      <c r="R367" s="11">
        <v>12026.7</v>
      </c>
      <c r="S367" s="12">
        <v>572.70000000000073</v>
      </c>
      <c r="T367" s="3">
        <f t="shared" si="11"/>
        <v>-84530520</v>
      </c>
    </row>
    <row r="368" spans="1:20" x14ac:dyDescent="0.3">
      <c r="A368" s="46">
        <v>45017</v>
      </c>
      <c r="B368" s="4">
        <v>2023</v>
      </c>
      <c r="C368" s="18" t="str">
        <f t="shared" si="10"/>
        <v>Apr</v>
      </c>
      <c r="D368" s="4" t="s">
        <v>11</v>
      </c>
      <c r="E368" s="4" t="s">
        <v>23</v>
      </c>
      <c r="F368" s="4">
        <v>248</v>
      </c>
      <c r="G368" s="4" t="s">
        <v>34</v>
      </c>
      <c r="H368" t="s">
        <v>59</v>
      </c>
      <c r="I368" s="6">
        <v>180000</v>
      </c>
      <c r="J368" s="7">
        <v>0.28000000000000003</v>
      </c>
      <c r="K368" s="20">
        <v>0.18</v>
      </c>
      <c r="L368" s="19">
        <v>230400</v>
      </c>
      <c r="M368" s="6">
        <v>212400</v>
      </c>
      <c r="N368" s="19">
        <v>-18000</v>
      </c>
      <c r="O368" s="19">
        <v>2694297600</v>
      </c>
      <c r="P368" s="19">
        <v>2607995880</v>
      </c>
      <c r="Q368" s="4">
        <v>11694</v>
      </c>
      <c r="R368" s="11">
        <v>12278.7</v>
      </c>
      <c r="S368" s="12">
        <v>584.70000000000073</v>
      </c>
      <c r="T368" s="3">
        <f t="shared" si="11"/>
        <v>-86301720</v>
      </c>
    </row>
    <row r="369" spans="1:20" x14ac:dyDescent="0.3">
      <c r="A369" s="45">
        <v>45047</v>
      </c>
      <c r="B369">
        <v>2023</v>
      </c>
      <c r="C369" s="18" t="str">
        <f t="shared" si="10"/>
        <v>May</v>
      </c>
      <c r="D369" t="s">
        <v>11</v>
      </c>
      <c r="E369" t="s">
        <v>23</v>
      </c>
      <c r="F369">
        <v>248</v>
      </c>
      <c r="G369" t="s">
        <v>34</v>
      </c>
      <c r="H369" t="s">
        <v>59</v>
      </c>
      <c r="I369" s="3">
        <v>180000</v>
      </c>
      <c r="J369" s="2">
        <v>0.28000000000000003</v>
      </c>
      <c r="K369" s="20">
        <v>0.18</v>
      </c>
      <c r="L369" s="19">
        <v>230400</v>
      </c>
      <c r="M369" s="3">
        <v>212400</v>
      </c>
      <c r="N369" s="19">
        <v>-18000</v>
      </c>
      <c r="O369" s="19">
        <v>2661580800</v>
      </c>
      <c r="P369" s="19">
        <v>2576327040</v>
      </c>
      <c r="Q369">
        <v>11552</v>
      </c>
      <c r="R369" s="11">
        <v>12129.6</v>
      </c>
      <c r="S369" s="12">
        <v>577.60000000000036</v>
      </c>
      <c r="T369" s="3">
        <f t="shared" si="11"/>
        <v>-85253760</v>
      </c>
    </row>
    <row r="370" spans="1:20" x14ac:dyDescent="0.3">
      <c r="A370" s="46">
        <v>45078</v>
      </c>
      <c r="B370" s="4">
        <v>2023</v>
      </c>
      <c r="C370" s="18" t="str">
        <f t="shared" si="10"/>
        <v>Jun</v>
      </c>
      <c r="D370" s="4" t="s">
        <v>11</v>
      </c>
      <c r="E370" s="4" t="s">
        <v>23</v>
      </c>
      <c r="F370" s="4">
        <v>248</v>
      </c>
      <c r="G370" s="4" t="s">
        <v>34</v>
      </c>
      <c r="H370" t="s">
        <v>59</v>
      </c>
      <c r="I370" s="6">
        <v>180000</v>
      </c>
      <c r="J370" s="7">
        <v>0.28000000000000003</v>
      </c>
      <c r="K370" s="20">
        <v>0.18</v>
      </c>
      <c r="L370" s="19">
        <v>230400</v>
      </c>
      <c r="M370" s="6">
        <v>212400</v>
      </c>
      <c r="N370" s="19">
        <v>-18000</v>
      </c>
      <c r="O370" s="19">
        <v>2188569600</v>
      </c>
      <c r="P370" s="19">
        <v>2118466980.0000002</v>
      </c>
      <c r="Q370" s="4">
        <v>9499</v>
      </c>
      <c r="R370" s="11">
        <v>9973.9500000000007</v>
      </c>
      <c r="S370" s="12">
        <v>474.95000000000073</v>
      </c>
      <c r="T370" s="3">
        <f t="shared" si="11"/>
        <v>-70102619.999999762</v>
      </c>
    </row>
    <row r="371" spans="1:20" x14ac:dyDescent="0.3">
      <c r="A371" s="45">
        <v>45108</v>
      </c>
      <c r="B371">
        <v>2023</v>
      </c>
      <c r="C371" s="18" t="str">
        <f t="shared" si="10"/>
        <v>Jul</v>
      </c>
      <c r="D371" t="s">
        <v>11</v>
      </c>
      <c r="E371" t="s">
        <v>23</v>
      </c>
      <c r="F371">
        <v>248</v>
      </c>
      <c r="G371" t="s">
        <v>34</v>
      </c>
      <c r="H371" t="s">
        <v>59</v>
      </c>
      <c r="I371" s="3">
        <v>180000</v>
      </c>
      <c r="J371" s="2">
        <v>0.28000000000000003</v>
      </c>
      <c r="K371" s="20">
        <v>0.18</v>
      </c>
      <c r="L371" s="19">
        <v>230400</v>
      </c>
      <c r="M371" s="3">
        <v>212400</v>
      </c>
      <c r="N371" s="19">
        <v>-18000</v>
      </c>
      <c r="O371" s="19">
        <v>2303539200</v>
      </c>
      <c r="P371" s="19">
        <v>2229753960</v>
      </c>
      <c r="Q371">
        <v>9998</v>
      </c>
      <c r="R371" s="11">
        <v>10497.9</v>
      </c>
      <c r="S371" s="12">
        <v>499.89999999999964</v>
      </c>
      <c r="T371" s="3">
        <f t="shared" si="11"/>
        <v>-73785240</v>
      </c>
    </row>
    <row r="372" spans="1:20" x14ac:dyDescent="0.3">
      <c r="A372" s="46">
        <v>45139</v>
      </c>
      <c r="B372" s="4">
        <v>2023</v>
      </c>
      <c r="C372" s="18" t="str">
        <f t="shared" si="10"/>
        <v>Aug</v>
      </c>
      <c r="D372" s="4" t="s">
        <v>11</v>
      </c>
      <c r="E372" s="4" t="s">
        <v>23</v>
      </c>
      <c r="F372" s="4">
        <v>248</v>
      </c>
      <c r="G372" s="4" t="s">
        <v>34</v>
      </c>
      <c r="H372" t="s">
        <v>59</v>
      </c>
      <c r="I372" s="6">
        <v>180000</v>
      </c>
      <c r="J372" s="7">
        <v>0.28000000000000003</v>
      </c>
      <c r="K372" s="20">
        <v>0.18</v>
      </c>
      <c r="L372" s="19">
        <v>230400</v>
      </c>
      <c r="M372" s="6">
        <v>212400</v>
      </c>
      <c r="N372" s="19">
        <v>-18000</v>
      </c>
      <c r="O372" s="19">
        <v>2093184000</v>
      </c>
      <c r="P372" s="19">
        <v>2026136700</v>
      </c>
      <c r="Q372" s="4">
        <v>9085</v>
      </c>
      <c r="R372" s="11">
        <v>9539.25</v>
      </c>
      <c r="S372" s="12">
        <v>454.25</v>
      </c>
      <c r="T372" s="3">
        <f t="shared" si="11"/>
        <v>-67047300</v>
      </c>
    </row>
    <row r="373" spans="1:20" x14ac:dyDescent="0.3">
      <c r="A373" s="45">
        <v>45170</v>
      </c>
      <c r="B373">
        <v>2023</v>
      </c>
      <c r="C373" s="18" t="str">
        <f t="shared" si="10"/>
        <v>Sep</v>
      </c>
      <c r="D373" t="s">
        <v>11</v>
      </c>
      <c r="E373" t="s">
        <v>23</v>
      </c>
      <c r="F373">
        <v>248</v>
      </c>
      <c r="G373" t="s">
        <v>34</v>
      </c>
      <c r="H373" t="s">
        <v>59</v>
      </c>
      <c r="I373" s="3">
        <v>180000</v>
      </c>
      <c r="J373" s="2">
        <v>0.28000000000000003</v>
      </c>
      <c r="K373" s="20">
        <v>0.18</v>
      </c>
      <c r="L373" s="19">
        <v>230400</v>
      </c>
      <c r="M373" s="3">
        <v>212400</v>
      </c>
      <c r="N373" s="19">
        <v>-18000</v>
      </c>
      <c r="O373" s="19">
        <v>1632844800</v>
      </c>
      <c r="P373" s="19">
        <v>1580542740</v>
      </c>
      <c r="Q373">
        <v>7087</v>
      </c>
      <c r="R373" s="11">
        <v>7441.35</v>
      </c>
      <c r="S373" s="12">
        <v>354.35000000000036</v>
      </c>
      <c r="T373" s="3">
        <f t="shared" si="11"/>
        <v>-52302060</v>
      </c>
    </row>
    <row r="374" spans="1:20" x14ac:dyDescent="0.3">
      <c r="A374" s="46">
        <v>45200</v>
      </c>
      <c r="B374" s="4">
        <v>2023</v>
      </c>
      <c r="C374" s="18" t="str">
        <f t="shared" si="10"/>
        <v>Oct</v>
      </c>
      <c r="D374" s="4" t="s">
        <v>11</v>
      </c>
      <c r="E374" s="4" t="s">
        <v>23</v>
      </c>
      <c r="F374" s="4">
        <v>248</v>
      </c>
      <c r="G374" s="4" t="s">
        <v>34</v>
      </c>
      <c r="H374" t="s">
        <v>59</v>
      </c>
      <c r="I374" s="6">
        <v>180000</v>
      </c>
      <c r="J374" s="7">
        <v>0.28000000000000003</v>
      </c>
      <c r="K374" s="20">
        <v>0.18</v>
      </c>
      <c r="L374" s="19">
        <v>230400</v>
      </c>
      <c r="M374" s="6">
        <v>212400</v>
      </c>
      <c r="N374" s="19">
        <v>-18000</v>
      </c>
      <c r="O374" s="19">
        <v>2368281600</v>
      </c>
      <c r="P374" s="19">
        <v>2292422580</v>
      </c>
      <c r="Q374" s="4">
        <v>10279</v>
      </c>
      <c r="R374" s="11">
        <v>10792.95</v>
      </c>
      <c r="S374" s="12">
        <v>513.95000000000073</v>
      </c>
      <c r="T374" s="3">
        <f t="shared" si="11"/>
        <v>-75859020</v>
      </c>
    </row>
    <row r="375" spans="1:20" x14ac:dyDescent="0.3">
      <c r="A375" s="45">
        <v>45231</v>
      </c>
      <c r="B375">
        <v>2023</v>
      </c>
      <c r="C375" s="18" t="str">
        <f t="shared" si="10"/>
        <v>Nov</v>
      </c>
      <c r="D375" t="s">
        <v>11</v>
      </c>
      <c r="E375" t="s">
        <v>23</v>
      </c>
      <c r="F375">
        <v>248</v>
      </c>
      <c r="G375" t="s">
        <v>34</v>
      </c>
      <c r="H375" t="s">
        <v>59</v>
      </c>
      <c r="I375" s="3">
        <v>180000</v>
      </c>
      <c r="J375" s="2">
        <v>0.28000000000000003</v>
      </c>
      <c r="K375" s="20">
        <v>0.18</v>
      </c>
      <c r="L375" s="19">
        <v>230400</v>
      </c>
      <c r="M375" s="3">
        <v>212400</v>
      </c>
      <c r="N375" s="19">
        <v>-18000</v>
      </c>
      <c r="O375" s="19">
        <v>1820390400</v>
      </c>
      <c r="P375" s="19">
        <v>1762081020.0000002</v>
      </c>
      <c r="Q375">
        <v>7901</v>
      </c>
      <c r="R375" s="11">
        <v>8296.0500000000011</v>
      </c>
      <c r="S375" s="12">
        <v>395.05000000000109</v>
      </c>
      <c r="T375" s="3">
        <f t="shared" si="11"/>
        <v>-58309379.999999762</v>
      </c>
    </row>
    <row r="376" spans="1:20" x14ac:dyDescent="0.3">
      <c r="A376" s="46">
        <v>45261</v>
      </c>
      <c r="B376" s="4">
        <v>2023</v>
      </c>
      <c r="C376" s="18" t="str">
        <f t="shared" si="10"/>
        <v>Dec</v>
      </c>
      <c r="D376" s="4" t="s">
        <v>11</v>
      </c>
      <c r="E376" s="4" t="s">
        <v>23</v>
      </c>
      <c r="F376" s="4">
        <v>248</v>
      </c>
      <c r="G376" s="4" t="s">
        <v>34</v>
      </c>
      <c r="H376" t="s">
        <v>59</v>
      </c>
      <c r="I376" s="6">
        <v>180000</v>
      </c>
      <c r="J376" s="7">
        <v>0.28000000000000003</v>
      </c>
      <c r="K376" s="20">
        <v>0.18</v>
      </c>
      <c r="L376" s="19">
        <v>230400</v>
      </c>
      <c r="M376" s="6">
        <v>212400</v>
      </c>
      <c r="N376" s="19">
        <v>-18000</v>
      </c>
      <c r="O376" s="19">
        <v>2421504000</v>
      </c>
      <c r="P376" s="19">
        <v>2343940200</v>
      </c>
      <c r="Q376" s="4">
        <v>10510</v>
      </c>
      <c r="R376" s="11">
        <v>11035.5</v>
      </c>
      <c r="S376" s="12">
        <v>525.5</v>
      </c>
      <c r="T376" s="3">
        <f t="shared" si="11"/>
        <v>-77563800</v>
      </c>
    </row>
    <row r="377" spans="1:20" x14ac:dyDescent="0.3">
      <c r="A377" s="45">
        <v>45292</v>
      </c>
      <c r="B377">
        <v>2024</v>
      </c>
      <c r="C377" s="18" t="str">
        <f t="shared" si="10"/>
        <v>Jan</v>
      </c>
      <c r="D377" t="s">
        <v>11</v>
      </c>
      <c r="E377" t="s">
        <v>23</v>
      </c>
      <c r="F377">
        <v>248</v>
      </c>
      <c r="G377" t="s">
        <v>34</v>
      </c>
      <c r="H377" t="s">
        <v>59</v>
      </c>
      <c r="I377" s="3">
        <v>180000</v>
      </c>
      <c r="J377" s="2">
        <v>0.28000000000000003</v>
      </c>
      <c r="K377" s="20">
        <v>0.18</v>
      </c>
      <c r="L377" s="19">
        <v>230400</v>
      </c>
      <c r="M377" s="3">
        <v>212400</v>
      </c>
      <c r="N377" s="19">
        <v>-18000</v>
      </c>
      <c r="O377" s="19">
        <v>2092032000</v>
      </c>
      <c r="P377" s="19">
        <v>2025021600</v>
      </c>
      <c r="Q377">
        <v>9080</v>
      </c>
      <c r="R377" s="11">
        <v>9534</v>
      </c>
      <c r="S377" s="12">
        <v>454</v>
      </c>
      <c r="T377" s="3">
        <f t="shared" si="11"/>
        <v>-67010400</v>
      </c>
    </row>
    <row r="378" spans="1:20" x14ac:dyDescent="0.3">
      <c r="A378" s="46">
        <v>45323</v>
      </c>
      <c r="B378" s="4">
        <v>2024</v>
      </c>
      <c r="C378" s="18" t="str">
        <f t="shared" si="10"/>
        <v>Feb</v>
      </c>
      <c r="D378" s="4" t="s">
        <v>11</v>
      </c>
      <c r="E378" s="4" t="s">
        <v>23</v>
      </c>
      <c r="F378" s="4">
        <v>248</v>
      </c>
      <c r="G378" s="4" t="s">
        <v>34</v>
      </c>
      <c r="H378" t="s">
        <v>59</v>
      </c>
      <c r="I378" s="6">
        <v>180000</v>
      </c>
      <c r="J378" s="7">
        <v>0.28000000000000003</v>
      </c>
      <c r="K378" s="20">
        <v>0.18</v>
      </c>
      <c r="L378" s="19">
        <v>230400</v>
      </c>
      <c r="M378" s="6">
        <v>212400</v>
      </c>
      <c r="N378" s="19">
        <v>-18000</v>
      </c>
      <c r="O378" s="19">
        <v>2884838400</v>
      </c>
      <c r="P378" s="19">
        <v>2792433420</v>
      </c>
      <c r="Q378" s="4">
        <v>12521</v>
      </c>
      <c r="R378" s="11">
        <v>13147.050000000001</v>
      </c>
      <c r="S378" s="12">
        <v>626.05000000000109</v>
      </c>
      <c r="T378" s="3">
        <f t="shared" si="11"/>
        <v>-92404980</v>
      </c>
    </row>
    <row r="379" spans="1:20" x14ac:dyDescent="0.3">
      <c r="A379" s="45">
        <v>45352</v>
      </c>
      <c r="B379">
        <v>2024</v>
      </c>
      <c r="C379" s="18" t="str">
        <f t="shared" si="10"/>
        <v>Mar</v>
      </c>
      <c r="D379" t="s">
        <v>11</v>
      </c>
      <c r="E379" t="s">
        <v>23</v>
      </c>
      <c r="F379">
        <v>248</v>
      </c>
      <c r="G379" t="s">
        <v>34</v>
      </c>
      <c r="H379" t="s">
        <v>59</v>
      </c>
      <c r="I379" s="3">
        <v>180000</v>
      </c>
      <c r="J379" s="2">
        <v>0.28000000000000003</v>
      </c>
      <c r="K379" s="20">
        <v>0.18</v>
      </c>
      <c r="L379" s="19">
        <v>230400</v>
      </c>
      <c r="M379" s="3">
        <v>212400</v>
      </c>
      <c r="N379" s="19">
        <v>-18000</v>
      </c>
      <c r="O379" s="19">
        <v>3233894400</v>
      </c>
      <c r="P379" s="19">
        <v>3130308720</v>
      </c>
      <c r="Q379">
        <v>14036</v>
      </c>
      <c r="R379" s="11">
        <v>14737.800000000001</v>
      </c>
      <c r="S379" s="12">
        <v>701.80000000000109</v>
      </c>
      <c r="T379" s="3">
        <f t="shared" si="11"/>
        <v>-103585680</v>
      </c>
    </row>
    <row r="380" spans="1:20" x14ac:dyDescent="0.3">
      <c r="A380" s="46">
        <v>45383</v>
      </c>
      <c r="B380" s="4">
        <v>2024</v>
      </c>
      <c r="C380" s="18" t="str">
        <f t="shared" si="10"/>
        <v>Apr</v>
      </c>
      <c r="D380" s="4" t="s">
        <v>11</v>
      </c>
      <c r="E380" s="4" t="s">
        <v>23</v>
      </c>
      <c r="F380" s="4">
        <v>248</v>
      </c>
      <c r="G380" s="4" t="s">
        <v>34</v>
      </c>
      <c r="H380" t="s">
        <v>59</v>
      </c>
      <c r="I380" s="6">
        <v>180000</v>
      </c>
      <c r="J380" s="7">
        <v>0.28000000000000003</v>
      </c>
      <c r="K380" s="20">
        <v>0.18</v>
      </c>
      <c r="L380" s="19">
        <v>230400</v>
      </c>
      <c r="M380" s="6">
        <v>212400</v>
      </c>
      <c r="N380" s="19">
        <v>-18000</v>
      </c>
      <c r="O380" s="19">
        <v>2559283200</v>
      </c>
      <c r="P380" s="19">
        <v>2477306160</v>
      </c>
      <c r="Q380" s="4">
        <v>11108</v>
      </c>
      <c r="R380" s="11">
        <v>11663.4</v>
      </c>
      <c r="S380" s="12">
        <v>555.39999999999964</v>
      </c>
      <c r="T380" s="3">
        <f t="shared" si="11"/>
        <v>-81977040</v>
      </c>
    </row>
    <row r="381" spans="1:20" x14ac:dyDescent="0.3">
      <c r="A381" s="45">
        <v>45413</v>
      </c>
      <c r="B381">
        <v>2024</v>
      </c>
      <c r="C381" s="18" t="str">
        <f t="shared" si="10"/>
        <v>May</v>
      </c>
      <c r="D381" t="s">
        <v>11</v>
      </c>
      <c r="E381" t="s">
        <v>23</v>
      </c>
      <c r="F381">
        <v>248</v>
      </c>
      <c r="G381" t="s">
        <v>34</v>
      </c>
      <c r="H381" t="s">
        <v>59</v>
      </c>
      <c r="I381" s="3">
        <v>180000</v>
      </c>
      <c r="J381" s="2">
        <v>0.28000000000000003</v>
      </c>
      <c r="K381" s="20">
        <v>0.18</v>
      </c>
      <c r="L381" s="19">
        <v>230400</v>
      </c>
      <c r="M381" s="3">
        <v>212400</v>
      </c>
      <c r="N381" s="19">
        <v>-18000</v>
      </c>
      <c r="O381" s="19">
        <v>2412518400</v>
      </c>
      <c r="P381" s="19">
        <v>2335242420</v>
      </c>
      <c r="Q381">
        <v>10471</v>
      </c>
      <c r="R381" s="11">
        <v>10994.550000000001</v>
      </c>
      <c r="S381" s="12">
        <v>523.55000000000109</v>
      </c>
      <c r="T381" s="3">
        <f t="shared" si="11"/>
        <v>-77275980</v>
      </c>
    </row>
    <row r="382" spans="1:20" x14ac:dyDescent="0.3">
      <c r="A382" s="46">
        <v>45444</v>
      </c>
      <c r="B382" s="4">
        <v>2024</v>
      </c>
      <c r="C382" s="18" t="str">
        <f t="shared" si="10"/>
        <v>Jun</v>
      </c>
      <c r="D382" s="4" t="s">
        <v>11</v>
      </c>
      <c r="E382" s="4" t="s">
        <v>23</v>
      </c>
      <c r="F382" s="4">
        <v>248</v>
      </c>
      <c r="G382" s="4" t="s">
        <v>34</v>
      </c>
      <c r="H382" t="s">
        <v>59</v>
      </c>
      <c r="I382" s="6">
        <v>180000</v>
      </c>
      <c r="J382" s="7">
        <v>0.28000000000000003</v>
      </c>
      <c r="K382" s="20">
        <v>0.18</v>
      </c>
      <c r="L382" s="19">
        <v>230400</v>
      </c>
      <c r="M382" s="6">
        <v>212400</v>
      </c>
      <c r="N382" s="19">
        <v>-18000</v>
      </c>
      <c r="O382" s="19">
        <v>2217139200</v>
      </c>
      <c r="P382" s="19">
        <v>2146121460</v>
      </c>
      <c r="Q382" s="4">
        <v>9623</v>
      </c>
      <c r="R382" s="11">
        <v>10104.15</v>
      </c>
      <c r="S382" s="12">
        <v>481.14999999999964</v>
      </c>
      <c r="T382" s="3">
        <f t="shared" si="11"/>
        <v>-71017740</v>
      </c>
    </row>
    <row r="383" spans="1:20" x14ac:dyDescent="0.3">
      <c r="A383" s="45">
        <v>45474</v>
      </c>
      <c r="B383">
        <v>2024</v>
      </c>
      <c r="C383" s="18" t="str">
        <f t="shared" si="10"/>
        <v>Jul</v>
      </c>
      <c r="D383" t="s">
        <v>11</v>
      </c>
      <c r="E383" t="s">
        <v>23</v>
      </c>
      <c r="F383">
        <v>248</v>
      </c>
      <c r="G383" t="s">
        <v>34</v>
      </c>
      <c r="H383" t="s">
        <v>59</v>
      </c>
      <c r="I383" s="3">
        <v>180000</v>
      </c>
      <c r="J383" s="2">
        <v>0.28000000000000003</v>
      </c>
      <c r="K383" s="20">
        <v>0.18</v>
      </c>
      <c r="L383" s="19">
        <v>230400</v>
      </c>
      <c r="M383" s="3">
        <v>212400</v>
      </c>
      <c r="N383" s="19">
        <v>-18000</v>
      </c>
      <c r="O383" s="19">
        <v>2136038400</v>
      </c>
      <c r="P383" s="19">
        <v>2067618420.0000002</v>
      </c>
      <c r="Q383">
        <v>9271</v>
      </c>
      <c r="R383" s="11">
        <v>9734.5500000000011</v>
      </c>
      <c r="S383" s="12">
        <v>463.55000000000109</v>
      </c>
      <c r="T383" s="3">
        <f t="shared" si="11"/>
        <v>-68419979.999999762</v>
      </c>
    </row>
    <row r="384" spans="1:20" x14ac:dyDescent="0.3">
      <c r="A384" s="46">
        <v>45505</v>
      </c>
      <c r="B384" s="4">
        <v>2024</v>
      </c>
      <c r="C384" s="18" t="str">
        <f t="shared" si="10"/>
        <v>Aug</v>
      </c>
      <c r="D384" s="4" t="s">
        <v>11</v>
      </c>
      <c r="E384" s="4" t="s">
        <v>23</v>
      </c>
      <c r="F384" s="4">
        <v>248</v>
      </c>
      <c r="G384" s="4" t="s">
        <v>34</v>
      </c>
      <c r="H384" t="s">
        <v>59</v>
      </c>
      <c r="I384" s="6">
        <v>180000</v>
      </c>
      <c r="J384" s="7">
        <v>0.28000000000000003</v>
      </c>
      <c r="K384" s="20">
        <v>0.18</v>
      </c>
      <c r="L384" s="19">
        <v>230400</v>
      </c>
      <c r="M384" s="6">
        <v>212400</v>
      </c>
      <c r="N384" s="19">
        <v>-18000</v>
      </c>
      <c r="O384" s="19">
        <v>1815321600</v>
      </c>
      <c r="P384" s="19">
        <v>1757174580.0000002</v>
      </c>
      <c r="Q384" s="4">
        <v>7879</v>
      </c>
      <c r="R384" s="11">
        <v>8272.9500000000007</v>
      </c>
      <c r="S384" s="12">
        <v>393.95000000000073</v>
      </c>
      <c r="T384" s="3">
        <f t="shared" si="11"/>
        <v>-58147019.999999762</v>
      </c>
    </row>
    <row r="385" spans="1:20" x14ac:dyDescent="0.3">
      <c r="A385" s="45">
        <v>45536</v>
      </c>
      <c r="B385">
        <v>2024</v>
      </c>
      <c r="C385" s="18" t="str">
        <f t="shared" si="10"/>
        <v>Sep</v>
      </c>
      <c r="D385" t="s">
        <v>11</v>
      </c>
      <c r="E385" t="s">
        <v>23</v>
      </c>
      <c r="F385">
        <v>248</v>
      </c>
      <c r="G385" t="s">
        <v>34</v>
      </c>
      <c r="H385" t="s">
        <v>59</v>
      </c>
      <c r="I385" s="3">
        <v>180000</v>
      </c>
      <c r="J385" s="2">
        <v>0.28000000000000003</v>
      </c>
      <c r="K385" s="20">
        <v>0.18</v>
      </c>
      <c r="L385" s="19">
        <v>230400</v>
      </c>
      <c r="M385" s="3">
        <v>212400</v>
      </c>
      <c r="N385" s="19">
        <v>-18000</v>
      </c>
      <c r="O385" s="19">
        <v>1829836800</v>
      </c>
      <c r="P385" s="19">
        <v>1771224840</v>
      </c>
      <c r="Q385">
        <v>7942</v>
      </c>
      <c r="R385" s="11">
        <v>8339.1</v>
      </c>
      <c r="S385" s="12">
        <v>397.10000000000036</v>
      </c>
      <c r="T385" s="3">
        <f t="shared" si="11"/>
        <v>-58611960</v>
      </c>
    </row>
    <row r="386" spans="1:20" x14ac:dyDescent="0.3">
      <c r="A386" s="46">
        <v>45566</v>
      </c>
      <c r="B386" s="4">
        <v>2024</v>
      </c>
      <c r="C386" s="18" t="str">
        <f t="shared" si="10"/>
        <v>Oct</v>
      </c>
      <c r="D386" s="4" t="s">
        <v>11</v>
      </c>
      <c r="E386" s="4" t="s">
        <v>23</v>
      </c>
      <c r="F386" s="4">
        <v>248</v>
      </c>
      <c r="G386" s="4" t="s">
        <v>34</v>
      </c>
      <c r="H386" t="s">
        <v>59</v>
      </c>
      <c r="I386" s="6">
        <v>180000</v>
      </c>
      <c r="J386" s="7">
        <v>0.28000000000000003</v>
      </c>
      <c r="K386" s="20">
        <v>0.18</v>
      </c>
      <c r="L386" s="19">
        <v>230400</v>
      </c>
      <c r="M386" s="6">
        <v>212400</v>
      </c>
      <c r="N386" s="19">
        <v>-18000</v>
      </c>
      <c r="O386" s="19">
        <v>2065996800</v>
      </c>
      <c r="P386" s="19">
        <v>1999820340</v>
      </c>
      <c r="Q386" s="4">
        <v>8967</v>
      </c>
      <c r="R386" s="11">
        <v>9415.35</v>
      </c>
      <c r="S386" s="12">
        <v>448.35000000000036</v>
      </c>
      <c r="T386" s="3">
        <f t="shared" si="11"/>
        <v>-66176460</v>
      </c>
    </row>
    <row r="387" spans="1:20" x14ac:dyDescent="0.3">
      <c r="A387" s="45">
        <v>45597</v>
      </c>
      <c r="B387">
        <v>2024</v>
      </c>
      <c r="C387" s="18" t="str">
        <f t="shared" ref="C387:C450" si="12">TEXT(A387,"mmm")</f>
        <v>Nov</v>
      </c>
      <c r="D387" t="s">
        <v>11</v>
      </c>
      <c r="E387" t="s">
        <v>23</v>
      </c>
      <c r="F387">
        <v>248</v>
      </c>
      <c r="G387" t="s">
        <v>34</v>
      </c>
      <c r="H387" t="s">
        <v>59</v>
      </c>
      <c r="I387" s="3">
        <v>180000</v>
      </c>
      <c r="J387" s="2">
        <v>0.28000000000000003</v>
      </c>
      <c r="K387" s="20">
        <v>0.18</v>
      </c>
      <c r="L387" s="19">
        <v>230400</v>
      </c>
      <c r="M387" s="3">
        <v>212400</v>
      </c>
      <c r="N387" s="19">
        <v>-18000</v>
      </c>
      <c r="O387" s="19">
        <v>2016230400</v>
      </c>
      <c r="P387" s="19">
        <v>1951648020.0000002</v>
      </c>
      <c r="Q387">
        <v>8751</v>
      </c>
      <c r="R387" s="11">
        <v>9188.5500000000011</v>
      </c>
      <c r="S387" s="12">
        <v>437.55000000000109</v>
      </c>
      <c r="T387" s="3">
        <f t="shared" ref="T387:T450" si="13">P387-O387</f>
        <v>-64582379.999999762</v>
      </c>
    </row>
    <row r="388" spans="1:20" x14ac:dyDescent="0.3">
      <c r="A388" s="46">
        <v>45627</v>
      </c>
      <c r="B388" s="4">
        <v>2024</v>
      </c>
      <c r="C388" s="18" t="str">
        <f t="shared" si="12"/>
        <v>Dec</v>
      </c>
      <c r="D388" s="4" t="s">
        <v>11</v>
      </c>
      <c r="E388" s="4" t="s">
        <v>23</v>
      </c>
      <c r="F388" s="4">
        <v>248</v>
      </c>
      <c r="G388" s="4" t="s">
        <v>34</v>
      </c>
      <c r="H388" t="s">
        <v>59</v>
      </c>
      <c r="I388" s="6">
        <v>180000</v>
      </c>
      <c r="J388" s="7">
        <v>0.28000000000000003</v>
      </c>
      <c r="K388" s="20">
        <v>0.18</v>
      </c>
      <c r="L388" s="19">
        <v>230400</v>
      </c>
      <c r="M388" s="6">
        <v>212400</v>
      </c>
      <c r="N388" s="19">
        <v>-18000</v>
      </c>
      <c r="O388" s="19">
        <v>2402841600</v>
      </c>
      <c r="P388" s="19">
        <v>2325875580</v>
      </c>
      <c r="Q388" s="4">
        <v>10429</v>
      </c>
      <c r="R388" s="11">
        <v>10950.45</v>
      </c>
      <c r="S388" s="12">
        <v>521.45000000000073</v>
      </c>
      <c r="T388" s="3">
        <f t="shared" si="13"/>
        <v>-76966020</v>
      </c>
    </row>
    <row r="389" spans="1:20" x14ac:dyDescent="0.3">
      <c r="A389" s="45">
        <v>45658</v>
      </c>
      <c r="B389">
        <v>2025</v>
      </c>
      <c r="C389" s="18" t="str">
        <f t="shared" si="12"/>
        <v>Jan</v>
      </c>
      <c r="D389" t="s">
        <v>11</v>
      </c>
      <c r="E389" t="s">
        <v>23</v>
      </c>
      <c r="F389">
        <v>248</v>
      </c>
      <c r="G389" t="s">
        <v>34</v>
      </c>
      <c r="H389" t="s">
        <v>59</v>
      </c>
      <c r="I389" s="3">
        <v>180000</v>
      </c>
      <c r="J389" s="2">
        <v>0.28000000000000003</v>
      </c>
      <c r="K389" s="20">
        <v>0.18</v>
      </c>
      <c r="L389" s="19">
        <v>230400</v>
      </c>
      <c r="M389" s="3">
        <v>212400</v>
      </c>
      <c r="N389" s="19">
        <v>-18000</v>
      </c>
      <c r="O389" s="19">
        <v>2528870400</v>
      </c>
      <c r="P389" s="19">
        <v>2447867520</v>
      </c>
      <c r="Q389">
        <v>10976</v>
      </c>
      <c r="R389" s="11">
        <v>11524.800000000001</v>
      </c>
      <c r="S389" s="12">
        <v>548.80000000000109</v>
      </c>
      <c r="T389" s="3">
        <f t="shared" si="13"/>
        <v>-81002880</v>
      </c>
    </row>
    <row r="390" spans="1:20" x14ac:dyDescent="0.3">
      <c r="A390" s="46">
        <v>45689</v>
      </c>
      <c r="B390" s="4">
        <v>2025</v>
      </c>
      <c r="C390" s="18" t="str">
        <f t="shared" si="12"/>
        <v>Feb</v>
      </c>
      <c r="D390" s="4" t="s">
        <v>11</v>
      </c>
      <c r="E390" s="4" t="s">
        <v>23</v>
      </c>
      <c r="F390" s="4">
        <v>248</v>
      </c>
      <c r="G390" s="4" t="s">
        <v>34</v>
      </c>
      <c r="H390" t="s">
        <v>59</v>
      </c>
      <c r="I390" s="6">
        <v>180000</v>
      </c>
      <c r="J390" s="7">
        <v>0.28000000000000003</v>
      </c>
      <c r="K390" s="20">
        <v>0.18</v>
      </c>
      <c r="L390" s="19">
        <v>230400</v>
      </c>
      <c r="M390" s="6">
        <v>212400</v>
      </c>
      <c r="N390" s="19">
        <v>-18000</v>
      </c>
      <c r="O390" s="19">
        <v>2616422400</v>
      </c>
      <c r="P390" s="19">
        <v>2532615120</v>
      </c>
      <c r="Q390" s="4">
        <v>11356</v>
      </c>
      <c r="R390" s="11">
        <v>11923.800000000001</v>
      </c>
      <c r="S390" s="12">
        <v>567.80000000000109</v>
      </c>
      <c r="T390" s="3">
        <f t="shared" si="13"/>
        <v>-83807280</v>
      </c>
    </row>
    <row r="391" spans="1:20" x14ac:dyDescent="0.3">
      <c r="A391" s="45">
        <v>45717</v>
      </c>
      <c r="B391">
        <v>2025</v>
      </c>
      <c r="C391" s="18" t="str">
        <f t="shared" si="12"/>
        <v>Mar</v>
      </c>
      <c r="D391" t="s">
        <v>11</v>
      </c>
      <c r="E391" t="s">
        <v>23</v>
      </c>
      <c r="F391">
        <v>248</v>
      </c>
      <c r="G391" t="s">
        <v>34</v>
      </c>
      <c r="H391" t="s">
        <v>59</v>
      </c>
      <c r="I391" s="3">
        <v>180000</v>
      </c>
      <c r="J391" s="2">
        <v>0.28000000000000003</v>
      </c>
      <c r="K391" s="20">
        <v>0.18</v>
      </c>
      <c r="L391" s="19">
        <v>230400</v>
      </c>
      <c r="M391" s="3">
        <v>212400</v>
      </c>
      <c r="N391" s="19">
        <v>-18000</v>
      </c>
      <c r="O391" s="19">
        <v>2815488000</v>
      </c>
      <c r="P391" s="19">
        <v>2725304400</v>
      </c>
      <c r="Q391">
        <v>12220</v>
      </c>
      <c r="R391" s="11">
        <v>12831</v>
      </c>
      <c r="S391" s="12">
        <v>611</v>
      </c>
      <c r="T391" s="3">
        <f t="shared" si="13"/>
        <v>-90183600</v>
      </c>
    </row>
    <row r="392" spans="1:20" x14ac:dyDescent="0.3">
      <c r="A392" s="46">
        <v>45748</v>
      </c>
      <c r="B392" s="4">
        <v>2025</v>
      </c>
      <c r="C392" s="18" t="str">
        <f t="shared" si="12"/>
        <v>Apr</v>
      </c>
      <c r="D392" s="4" t="s">
        <v>11</v>
      </c>
      <c r="E392" s="4" t="s">
        <v>23</v>
      </c>
      <c r="F392" s="4">
        <v>248</v>
      </c>
      <c r="G392" s="4" t="s">
        <v>34</v>
      </c>
      <c r="H392" t="s">
        <v>59</v>
      </c>
      <c r="I392" s="6">
        <v>180000</v>
      </c>
      <c r="J392" s="7">
        <v>0.28000000000000003</v>
      </c>
      <c r="K392" s="20">
        <v>0.18</v>
      </c>
      <c r="L392" s="19">
        <v>230400</v>
      </c>
      <c r="M392" s="6">
        <v>212400</v>
      </c>
      <c r="N392" s="19">
        <v>-18000</v>
      </c>
      <c r="O392" s="19">
        <v>2196864000</v>
      </c>
      <c r="P392" s="19">
        <v>2126495700</v>
      </c>
      <c r="Q392" s="4">
        <v>9535</v>
      </c>
      <c r="R392" s="11">
        <v>10011.75</v>
      </c>
      <c r="S392" s="12">
        <v>476.75</v>
      </c>
      <c r="T392" s="3">
        <f t="shared" si="13"/>
        <v>-70368300</v>
      </c>
    </row>
    <row r="393" spans="1:20" x14ac:dyDescent="0.3">
      <c r="A393" s="45">
        <v>45778</v>
      </c>
      <c r="B393">
        <v>2025</v>
      </c>
      <c r="C393" s="18" t="str">
        <f t="shared" si="12"/>
        <v>May</v>
      </c>
      <c r="D393" t="s">
        <v>11</v>
      </c>
      <c r="E393" t="s">
        <v>23</v>
      </c>
      <c r="F393">
        <v>248</v>
      </c>
      <c r="G393" t="s">
        <v>34</v>
      </c>
      <c r="H393" t="s">
        <v>59</v>
      </c>
      <c r="I393" s="3">
        <v>180000</v>
      </c>
      <c r="J393" s="2">
        <v>0.28000000000000003</v>
      </c>
      <c r="K393" s="20">
        <v>0.18</v>
      </c>
      <c r="L393" s="19">
        <v>230400</v>
      </c>
      <c r="M393" s="3">
        <v>212400</v>
      </c>
      <c r="N393" s="19">
        <v>-18000</v>
      </c>
      <c r="O393" s="19">
        <v>2310912000</v>
      </c>
      <c r="P393" s="19">
        <v>2236890600</v>
      </c>
      <c r="Q393">
        <v>10030</v>
      </c>
      <c r="R393" s="11">
        <v>10531.5</v>
      </c>
      <c r="S393" s="12">
        <v>501.5</v>
      </c>
      <c r="T393" s="3">
        <f t="shared" si="13"/>
        <v>-74021400</v>
      </c>
    </row>
    <row r="394" spans="1:20" x14ac:dyDescent="0.3">
      <c r="A394" s="46">
        <v>45809</v>
      </c>
      <c r="B394" s="4">
        <v>2025</v>
      </c>
      <c r="C394" s="18" t="str">
        <f t="shared" si="12"/>
        <v>Jun</v>
      </c>
      <c r="D394" s="4" t="s">
        <v>11</v>
      </c>
      <c r="E394" s="4" t="s">
        <v>23</v>
      </c>
      <c r="F394" s="4">
        <v>248</v>
      </c>
      <c r="G394" s="4" t="s">
        <v>34</v>
      </c>
      <c r="H394" t="s">
        <v>59</v>
      </c>
      <c r="I394" s="6">
        <v>180000</v>
      </c>
      <c r="J394" s="7">
        <v>0.28000000000000003</v>
      </c>
      <c r="K394" s="20">
        <v>0.18</v>
      </c>
      <c r="L394" s="19">
        <v>230400</v>
      </c>
      <c r="M394" s="6">
        <v>212400</v>
      </c>
      <c r="N394" s="19">
        <v>-18000</v>
      </c>
      <c r="O394" s="19">
        <v>2539008000</v>
      </c>
      <c r="P394" s="19">
        <v>2457680400</v>
      </c>
      <c r="Q394" s="4">
        <v>11020</v>
      </c>
      <c r="R394" s="11">
        <v>11571</v>
      </c>
      <c r="S394" s="12">
        <v>551</v>
      </c>
      <c r="T394" s="3">
        <f t="shared" si="13"/>
        <v>-81327600</v>
      </c>
    </row>
    <row r="395" spans="1:20" x14ac:dyDescent="0.3">
      <c r="A395" s="45">
        <v>45839</v>
      </c>
      <c r="B395">
        <v>2025</v>
      </c>
      <c r="C395" s="18" t="str">
        <f t="shared" si="12"/>
        <v>Jul</v>
      </c>
      <c r="D395" t="s">
        <v>11</v>
      </c>
      <c r="E395" t="s">
        <v>23</v>
      </c>
      <c r="F395">
        <v>248</v>
      </c>
      <c r="G395" t="s">
        <v>34</v>
      </c>
      <c r="H395" t="s">
        <v>59</v>
      </c>
      <c r="I395" s="3">
        <v>180000</v>
      </c>
      <c r="J395" s="2">
        <v>0.28000000000000003</v>
      </c>
      <c r="K395" s="20">
        <v>0.18</v>
      </c>
      <c r="L395" s="19">
        <v>230400</v>
      </c>
      <c r="M395" s="3">
        <v>212400</v>
      </c>
      <c r="N395" s="19">
        <v>-18000</v>
      </c>
      <c r="O395" s="19">
        <v>2274508800</v>
      </c>
      <c r="P395" s="19">
        <v>2201653440</v>
      </c>
      <c r="Q395">
        <v>9872</v>
      </c>
      <c r="R395" s="11">
        <v>10365.6</v>
      </c>
      <c r="S395" s="12">
        <v>493.60000000000036</v>
      </c>
      <c r="T395" s="3">
        <f t="shared" si="13"/>
        <v>-72855360</v>
      </c>
    </row>
    <row r="396" spans="1:20" x14ac:dyDescent="0.3">
      <c r="A396" s="46">
        <v>45870</v>
      </c>
      <c r="B396" s="4">
        <v>2025</v>
      </c>
      <c r="C396" s="18" t="str">
        <f t="shared" si="12"/>
        <v>Aug</v>
      </c>
      <c r="D396" s="4" t="s">
        <v>11</v>
      </c>
      <c r="E396" s="4" t="s">
        <v>23</v>
      </c>
      <c r="F396" s="4">
        <v>248</v>
      </c>
      <c r="G396" s="4" t="s">
        <v>34</v>
      </c>
      <c r="H396" t="s">
        <v>59</v>
      </c>
      <c r="I396" s="6">
        <v>180000</v>
      </c>
      <c r="J396" s="7">
        <v>0.28000000000000003</v>
      </c>
      <c r="K396" s="20">
        <v>0.18</v>
      </c>
      <c r="L396" s="19">
        <v>230400</v>
      </c>
      <c r="M396" s="6">
        <v>212400</v>
      </c>
      <c r="N396" s="19">
        <v>-18000</v>
      </c>
      <c r="O396" s="19">
        <v>2228428800</v>
      </c>
      <c r="P396" s="19">
        <v>2157049440</v>
      </c>
      <c r="Q396" s="4">
        <v>9672</v>
      </c>
      <c r="R396" s="11">
        <v>10155.6</v>
      </c>
      <c r="S396" s="12">
        <v>483.6</v>
      </c>
      <c r="T396" s="3">
        <f t="shared" si="13"/>
        <v>-71379360</v>
      </c>
    </row>
    <row r="397" spans="1:20" x14ac:dyDescent="0.3">
      <c r="A397" s="45">
        <v>45901</v>
      </c>
      <c r="B397">
        <v>2025</v>
      </c>
      <c r="C397" s="18" t="str">
        <f t="shared" si="12"/>
        <v>Sep</v>
      </c>
      <c r="D397" t="s">
        <v>11</v>
      </c>
      <c r="E397" t="s">
        <v>23</v>
      </c>
      <c r="F397">
        <v>248</v>
      </c>
      <c r="G397" t="s">
        <v>34</v>
      </c>
      <c r="H397" t="s">
        <v>59</v>
      </c>
      <c r="I397" s="3">
        <v>180000</v>
      </c>
      <c r="J397" s="2">
        <v>0.28000000000000003</v>
      </c>
      <c r="K397" s="20">
        <v>0.18</v>
      </c>
      <c r="L397" s="19">
        <v>230400</v>
      </c>
      <c r="M397" s="3">
        <v>212400</v>
      </c>
      <c r="N397" s="19">
        <v>-18000</v>
      </c>
      <c r="O397" s="19">
        <v>1879833600</v>
      </c>
      <c r="P397" s="19">
        <v>1819620180.0000002</v>
      </c>
      <c r="Q397">
        <v>8159</v>
      </c>
      <c r="R397" s="11">
        <v>8566.9500000000007</v>
      </c>
      <c r="S397" s="12">
        <v>407.95000000000073</v>
      </c>
      <c r="T397" s="3">
        <f t="shared" si="13"/>
        <v>-60213419.999999762</v>
      </c>
    </row>
    <row r="398" spans="1:20" x14ac:dyDescent="0.3">
      <c r="A398" s="46">
        <v>44927</v>
      </c>
      <c r="B398" s="4">
        <v>2023</v>
      </c>
      <c r="C398" s="18" t="str">
        <f t="shared" si="12"/>
        <v>Jan</v>
      </c>
      <c r="D398" s="4" t="s">
        <v>11</v>
      </c>
      <c r="E398" s="4" t="s">
        <v>24</v>
      </c>
      <c r="F398" s="4">
        <v>373</v>
      </c>
      <c r="G398" s="4" t="s">
        <v>35</v>
      </c>
      <c r="H398" t="s">
        <v>60</v>
      </c>
      <c r="I398" s="6">
        <v>230000</v>
      </c>
      <c r="J398" s="7">
        <v>0.28000000000000003</v>
      </c>
      <c r="K398" s="20">
        <v>0.4</v>
      </c>
      <c r="L398" s="19">
        <v>294400</v>
      </c>
      <c r="M398" s="6">
        <v>322000</v>
      </c>
      <c r="N398" s="19">
        <v>27600</v>
      </c>
      <c r="O398" s="19">
        <v>2589248000</v>
      </c>
      <c r="P398" s="19">
        <v>2407191500</v>
      </c>
      <c r="Q398" s="4">
        <v>8795</v>
      </c>
      <c r="R398" s="11">
        <v>7475.75</v>
      </c>
      <c r="S398" s="12">
        <v>-1319.25</v>
      </c>
      <c r="T398" s="3">
        <f t="shared" si="13"/>
        <v>-182056500</v>
      </c>
    </row>
    <row r="399" spans="1:20" x14ac:dyDescent="0.3">
      <c r="A399" s="45">
        <v>44958</v>
      </c>
      <c r="B399">
        <v>2023</v>
      </c>
      <c r="C399" s="18" t="str">
        <f t="shared" si="12"/>
        <v>Feb</v>
      </c>
      <c r="D399" t="s">
        <v>11</v>
      </c>
      <c r="E399" t="s">
        <v>24</v>
      </c>
      <c r="F399">
        <v>373</v>
      </c>
      <c r="G399" t="s">
        <v>35</v>
      </c>
      <c r="H399" t="s">
        <v>60</v>
      </c>
      <c r="I399" s="3">
        <v>230000</v>
      </c>
      <c r="J399" s="2">
        <v>0.28000000000000003</v>
      </c>
      <c r="K399" s="20">
        <v>0.4</v>
      </c>
      <c r="L399" s="19">
        <v>294400</v>
      </c>
      <c r="M399" s="3">
        <v>322000</v>
      </c>
      <c r="N399" s="19">
        <v>27600</v>
      </c>
      <c r="O399" s="19">
        <v>2482086400</v>
      </c>
      <c r="P399" s="19">
        <v>2307564700</v>
      </c>
      <c r="Q399">
        <v>8431</v>
      </c>
      <c r="R399" s="11">
        <v>7166.3499999999995</v>
      </c>
      <c r="S399" s="12">
        <v>-1264.6500000000005</v>
      </c>
      <c r="T399" s="3">
        <f t="shared" si="13"/>
        <v>-174521700</v>
      </c>
    </row>
    <row r="400" spans="1:20" x14ac:dyDescent="0.3">
      <c r="A400" s="46">
        <v>44986</v>
      </c>
      <c r="B400" s="4">
        <v>2023</v>
      </c>
      <c r="C400" s="18" t="str">
        <f t="shared" si="12"/>
        <v>Mar</v>
      </c>
      <c r="D400" s="4" t="s">
        <v>11</v>
      </c>
      <c r="E400" s="4" t="s">
        <v>24</v>
      </c>
      <c r="F400" s="4">
        <v>373</v>
      </c>
      <c r="G400" s="4" t="s">
        <v>35</v>
      </c>
      <c r="H400" t="s">
        <v>60</v>
      </c>
      <c r="I400" s="6">
        <v>230000</v>
      </c>
      <c r="J400" s="7">
        <v>0.28000000000000003</v>
      </c>
      <c r="K400" s="20">
        <v>0.4</v>
      </c>
      <c r="L400" s="19">
        <v>294400</v>
      </c>
      <c r="M400" s="6">
        <v>322000</v>
      </c>
      <c r="N400" s="19">
        <v>27600</v>
      </c>
      <c r="O400" s="19">
        <v>3056755200</v>
      </c>
      <c r="P400" s="19">
        <v>2841827100</v>
      </c>
      <c r="Q400" s="4">
        <v>10383</v>
      </c>
      <c r="R400" s="11">
        <v>8825.5499999999993</v>
      </c>
      <c r="S400" s="12">
        <v>-1557.4500000000007</v>
      </c>
      <c r="T400" s="3">
        <f t="shared" si="13"/>
        <v>-214928100</v>
      </c>
    </row>
    <row r="401" spans="1:20" x14ac:dyDescent="0.3">
      <c r="A401" s="45">
        <v>45017</v>
      </c>
      <c r="B401">
        <v>2023</v>
      </c>
      <c r="C401" s="18" t="str">
        <f t="shared" si="12"/>
        <v>Apr</v>
      </c>
      <c r="D401" t="s">
        <v>11</v>
      </c>
      <c r="E401" t="s">
        <v>24</v>
      </c>
      <c r="F401">
        <v>373</v>
      </c>
      <c r="G401" t="s">
        <v>35</v>
      </c>
      <c r="H401" t="s">
        <v>60</v>
      </c>
      <c r="I401" s="3">
        <v>230000</v>
      </c>
      <c r="J401" s="2">
        <v>0.28000000000000003</v>
      </c>
      <c r="K401" s="20">
        <v>0.4</v>
      </c>
      <c r="L401" s="19">
        <v>294400</v>
      </c>
      <c r="M401" s="3">
        <v>322000</v>
      </c>
      <c r="N401" s="19">
        <v>27600</v>
      </c>
      <c r="O401" s="19">
        <v>2817408000</v>
      </c>
      <c r="P401" s="19">
        <v>2619309000</v>
      </c>
      <c r="Q401">
        <v>9570</v>
      </c>
      <c r="R401" s="11">
        <v>8134.5</v>
      </c>
      <c r="S401" s="12">
        <v>-1435.5</v>
      </c>
      <c r="T401" s="3">
        <f t="shared" si="13"/>
        <v>-198099000</v>
      </c>
    </row>
    <row r="402" spans="1:20" x14ac:dyDescent="0.3">
      <c r="A402" s="46">
        <v>45047</v>
      </c>
      <c r="B402" s="4">
        <v>2023</v>
      </c>
      <c r="C402" s="18" t="str">
        <f t="shared" si="12"/>
        <v>May</v>
      </c>
      <c r="D402" s="4" t="s">
        <v>11</v>
      </c>
      <c r="E402" s="4" t="s">
        <v>24</v>
      </c>
      <c r="F402" s="4">
        <v>373</v>
      </c>
      <c r="G402" s="4" t="s">
        <v>35</v>
      </c>
      <c r="H402" t="s">
        <v>60</v>
      </c>
      <c r="I402" s="6">
        <v>230000</v>
      </c>
      <c r="J402" s="7">
        <v>0.28000000000000003</v>
      </c>
      <c r="K402" s="20">
        <v>0.4</v>
      </c>
      <c r="L402" s="19">
        <v>294400</v>
      </c>
      <c r="M402" s="6">
        <v>322000</v>
      </c>
      <c r="N402" s="19">
        <v>27600</v>
      </c>
      <c r="O402" s="19">
        <v>2429977600</v>
      </c>
      <c r="P402" s="19">
        <v>2259119800</v>
      </c>
      <c r="Q402" s="4">
        <v>8254</v>
      </c>
      <c r="R402" s="11">
        <v>7015.9</v>
      </c>
      <c r="S402" s="12">
        <v>-1238.1000000000004</v>
      </c>
      <c r="T402" s="3">
        <f t="shared" si="13"/>
        <v>-170857800</v>
      </c>
    </row>
    <row r="403" spans="1:20" x14ac:dyDescent="0.3">
      <c r="A403" s="45">
        <v>45078</v>
      </c>
      <c r="B403">
        <v>2023</v>
      </c>
      <c r="C403" s="18" t="str">
        <f t="shared" si="12"/>
        <v>Jun</v>
      </c>
      <c r="D403" t="s">
        <v>11</v>
      </c>
      <c r="E403" t="s">
        <v>24</v>
      </c>
      <c r="F403">
        <v>373</v>
      </c>
      <c r="G403" t="s">
        <v>35</v>
      </c>
      <c r="H403" t="s">
        <v>60</v>
      </c>
      <c r="I403" s="3">
        <v>230000</v>
      </c>
      <c r="J403" s="2">
        <v>0.28000000000000003</v>
      </c>
      <c r="K403" s="20">
        <v>0.4</v>
      </c>
      <c r="L403" s="19">
        <v>294400</v>
      </c>
      <c r="M403" s="3">
        <v>322000</v>
      </c>
      <c r="N403" s="19">
        <v>27600</v>
      </c>
      <c r="O403" s="19">
        <v>2324876800</v>
      </c>
      <c r="P403" s="19">
        <v>2161408900</v>
      </c>
      <c r="Q403">
        <v>7897</v>
      </c>
      <c r="R403" s="11">
        <v>6712.45</v>
      </c>
      <c r="S403" s="12">
        <v>-1184.5500000000002</v>
      </c>
      <c r="T403" s="3">
        <f t="shared" si="13"/>
        <v>-163467900</v>
      </c>
    </row>
    <row r="404" spans="1:20" x14ac:dyDescent="0.3">
      <c r="A404" s="46">
        <v>45108</v>
      </c>
      <c r="B404" s="4">
        <v>2023</v>
      </c>
      <c r="C404" s="18" t="str">
        <f t="shared" si="12"/>
        <v>Jul</v>
      </c>
      <c r="D404" s="4" t="s">
        <v>11</v>
      </c>
      <c r="E404" s="4" t="s">
        <v>24</v>
      </c>
      <c r="F404" s="4">
        <v>373</v>
      </c>
      <c r="G404" s="4" t="s">
        <v>35</v>
      </c>
      <c r="H404" t="s">
        <v>60</v>
      </c>
      <c r="I404" s="6">
        <v>230000</v>
      </c>
      <c r="J404" s="7">
        <v>0.28000000000000003</v>
      </c>
      <c r="K404" s="20">
        <v>0.4</v>
      </c>
      <c r="L404" s="19">
        <v>294400</v>
      </c>
      <c r="M404" s="6">
        <v>322000</v>
      </c>
      <c r="N404" s="19">
        <v>27600</v>
      </c>
      <c r="O404" s="19">
        <v>2258342400</v>
      </c>
      <c r="P404" s="19">
        <v>2099552699.9999998</v>
      </c>
      <c r="Q404" s="4">
        <v>7671</v>
      </c>
      <c r="R404" s="11">
        <v>6520.3499999999995</v>
      </c>
      <c r="S404" s="12">
        <v>-1150.6500000000005</v>
      </c>
      <c r="T404" s="3">
        <f t="shared" si="13"/>
        <v>-158789700.00000024</v>
      </c>
    </row>
    <row r="405" spans="1:20" x14ac:dyDescent="0.3">
      <c r="A405" s="45">
        <v>45139</v>
      </c>
      <c r="B405">
        <v>2023</v>
      </c>
      <c r="C405" s="18" t="str">
        <f t="shared" si="12"/>
        <v>Aug</v>
      </c>
      <c r="D405" t="s">
        <v>11</v>
      </c>
      <c r="E405" t="s">
        <v>24</v>
      </c>
      <c r="F405">
        <v>373</v>
      </c>
      <c r="G405" t="s">
        <v>35</v>
      </c>
      <c r="H405" t="s">
        <v>60</v>
      </c>
      <c r="I405" s="3">
        <v>230000</v>
      </c>
      <c r="J405" s="2">
        <v>0.28000000000000003</v>
      </c>
      <c r="K405" s="20">
        <v>0.4</v>
      </c>
      <c r="L405" s="19">
        <v>294400</v>
      </c>
      <c r="M405" s="3">
        <v>322000</v>
      </c>
      <c r="N405" s="19">
        <v>27600</v>
      </c>
      <c r="O405" s="19">
        <v>2265408000</v>
      </c>
      <c r="P405" s="19">
        <v>2106121500</v>
      </c>
      <c r="Q405">
        <v>7695</v>
      </c>
      <c r="R405" s="11">
        <v>6540.75</v>
      </c>
      <c r="S405" s="12">
        <v>-1154.25</v>
      </c>
      <c r="T405" s="3">
        <f t="shared" si="13"/>
        <v>-159286500</v>
      </c>
    </row>
    <row r="406" spans="1:20" x14ac:dyDescent="0.3">
      <c r="A406" s="46">
        <v>45170</v>
      </c>
      <c r="B406" s="4">
        <v>2023</v>
      </c>
      <c r="C406" s="18" t="str">
        <f t="shared" si="12"/>
        <v>Sep</v>
      </c>
      <c r="D406" s="4" t="s">
        <v>11</v>
      </c>
      <c r="E406" s="4" t="s">
        <v>24</v>
      </c>
      <c r="F406" s="4">
        <v>373</v>
      </c>
      <c r="G406" s="4" t="s">
        <v>35</v>
      </c>
      <c r="H406" t="s">
        <v>60</v>
      </c>
      <c r="I406" s="6">
        <v>230000</v>
      </c>
      <c r="J406" s="7">
        <v>0.28000000000000003</v>
      </c>
      <c r="K406" s="20">
        <v>0.4</v>
      </c>
      <c r="L406" s="19">
        <v>294400</v>
      </c>
      <c r="M406" s="6">
        <v>322000</v>
      </c>
      <c r="N406" s="19">
        <v>27600</v>
      </c>
      <c r="O406" s="19">
        <v>1992793600</v>
      </c>
      <c r="P406" s="19">
        <v>1852675300</v>
      </c>
      <c r="Q406" s="4">
        <v>6769</v>
      </c>
      <c r="R406" s="11">
        <v>5753.65</v>
      </c>
      <c r="S406" s="12">
        <v>-1015.3500000000004</v>
      </c>
      <c r="T406" s="3">
        <f t="shared" si="13"/>
        <v>-140118300</v>
      </c>
    </row>
    <row r="407" spans="1:20" x14ac:dyDescent="0.3">
      <c r="A407" s="45">
        <v>45200</v>
      </c>
      <c r="B407">
        <v>2023</v>
      </c>
      <c r="C407" s="18" t="str">
        <f t="shared" si="12"/>
        <v>Oct</v>
      </c>
      <c r="D407" t="s">
        <v>11</v>
      </c>
      <c r="E407" t="s">
        <v>24</v>
      </c>
      <c r="F407">
        <v>373</v>
      </c>
      <c r="G407" t="s">
        <v>35</v>
      </c>
      <c r="H407" t="s">
        <v>60</v>
      </c>
      <c r="I407" s="3">
        <v>230000</v>
      </c>
      <c r="J407" s="2">
        <v>0.28000000000000003</v>
      </c>
      <c r="K407" s="20">
        <v>0.4</v>
      </c>
      <c r="L407" s="19">
        <v>294400</v>
      </c>
      <c r="M407" s="3">
        <v>322000</v>
      </c>
      <c r="N407" s="19">
        <v>27600</v>
      </c>
      <c r="O407" s="19">
        <v>1966297600</v>
      </c>
      <c r="P407" s="19">
        <v>1828042300</v>
      </c>
      <c r="Q407">
        <v>6679</v>
      </c>
      <c r="R407" s="11">
        <v>5677.15</v>
      </c>
      <c r="S407" s="12">
        <v>-1001.8500000000004</v>
      </c>
      <c r="T407" s="3">
        <f t="shared" si="13"/>
        <v>-138255300</v>
      </c>
    </row>
    <row r="408" spans="1:20" x14ac:dyDescent="0.3">
      <c r="A408" s="46">
        <v>45231</v>
      </c>
      <c r="B408" s="4">
        <v>2023</v>
      </c>
      <c r="C408" s="18" t="str">
        <f t="shared" si="12"/>
        <v>Nov</v>
      </c>
      <c r="D408" s="4" t="s">
        <v>11</v>
      </c>
      <c r="E408" s="4" t="s">
        <v>24</v>
      </c>
      <c r="F408" s="4">
        <v>373</v>
      </c>
      <c r="G408" s="4" t="s">
        <v>35</v>
      </c>
      <c r="H408" t="s">
        <v>60</v>
      </c>
      <c r="I408" s="6">
        <v>230000</v>
      </c>
      <c r="J408" s="7">
        <v>0.28000000000000003</v>
      </c>
      <c r="K408" s="20">
        <v>0.4</v>
      </c>
      <c r="L408" s="19">
        <v>294400</v>
      </c>
      <c r="M408" s="6">
        <v>322000</v>
      </c>
      <c r="N408" s="19">
        <v>27600</v>
      </c>
      <c r="O408" s="19">
        <v>2183564800</v>
      </c>
      <c r="P408" s="19">
        <v>2030032900</v>
      </c>
      <c r="Q408" s="4">
        <v>7417</v>
      </c>
      <c r="R408" s="11">
        <v>6304.45</v>
      </c>
      <c r="S408" s="12">
        <v>-1112.5500000000002</v>
      </c>
      <c r="T408" s="3">
        <f t="shared" si="13"/>
        <v>-153531900</v>
      </c>
    </row>
    <row r="409" spans="1:20" x14ac:dyDescent="0.3">
      <c r="A409" s="45">
        <v>45261</v>
      </c>
      <c r="B409">
        <v>2023</v>
      </c>
      <c r="C409" s="18" t="str">
        <f t="shared" si="12"/>
        <v>Dec</v>
      </c>
      <c r="D409" t="s">
        <v>11</v>
      </c>
      <c r="E409" t="s">
        <v>24</v>
      </c>
      <c r="F409">
        <v>373</v>
      </c>
      <c r="G409" t="s">
        <v>35</v>
      </c>
      <c r="H409" t="s">
        <v>60</v>
      </c>
      <c r="I409" s="3">
        <v>230000</v>
      </c>
      <c r="J409" s="2">
        <v>0.28000000000000003</v>
      </c>
      <c r="K409" s="20">
        <v>0.4</v>
      </c>
      <c r="L409" s="19">
        <v>294400</v>
      </c>
      <c r="M409" s="3">
        <v>322000</v>
      </c>
      <c r="N409" s="19">
        <v>27600</v>
      </c>
      <c r="O409" s="19">
        <v>2156185600</v>
      </c>
      <c r="P409" s="19">
        <v>2004578800</v>
      </c>
      <c r="Q409">
        <v>7324</v>
      </c>
      <c r="R409" s="11">
        <v>6225.4</v>
      </c>
      <c r="S409" s="12">
        <v>-1098.6000000000004</v>
      </c>
      <c r="T409" s="3">
        <f t="shared" si="13"/>
        <v>-151606800</v>
      </c>
    </row>
    <row r="410" spans="1:20" x14ac:dyDescent="0.3">
      <c r="A410" s="46">
        <v>45292</v>
      </c>
      <c r="B410" s="4">
        <v>2024</v>
      </c>
      <c r="C410" s="18" t="str">
        <f t="shared" si="12"/>
        <v>Jan</v>
      </c>
      <c r="D410" s="4" t="s">
        <v>11</v>
      </c>
      <c r="E410" s="4" t="s">
        <v>24</v>
      </c>
      <c r="F410" s="4">
        <v>373</v>
      </c>
      <c r="G410" s="4" t="s">
        <v>35</v>
      </c>
      <c r="H410" t="s">
        <v>60</v>
      </c>
      <c r="I410" s="6">
        <v>230000</v>
      </c>
      <c r="J410" s="7">
        <v>0.28000000000000003</v>
      </c>
      <c r="K410" s="20">
        <v>0.4</v>
      </c>
      <c r="L410" s="19">
        <v>294400</v>
      </c>
      <c r="M410" s="6">
        <v>322000</v>
      </c>
      <c r="N410" s="19">
        <v>27600</v>
      </c>
      <c r="O410" s="19">
        <v>2157657600</v>
      </c>
      <c r="P410" s="19">
        <v>2005947300</v>
      </c>
      <c r="Q410" s="4">
        <v>7329</v>
      </c>
      <c r="R410" s="11">
        <v>6229.65</v>
      </c>
      <c r="S410" s="12">
        <v>-1099.3500000000004</v>
      </c>
      <c r="T410" s="3">
        <f t="shared" si="13"/>
        <v>-151710300</v>
      </c>
    </row>
    <row r="411" spans="1:20" x14ac:dyDescent="0.3">
      <c r="A411" s="45">
        <v>45323</v>
      </c>
      <c r="B411">
        <v>2024</v>
      </c>
      <c r="C411" s="18" t="str">
        <f t="shared" si="12"/>
        <v>Feb</v>
      </c>
      <c r="D411" t="s">
        <v>11</v>
      </c>
      <c r="E411" t="s">
        <v>24</v>
      </c>
      <c r="F411">
        <v>373</v>
      </c>
      <c r="G411" t="s">
        <v>35</v>
      </c>
      <c r="H411" t="s">
        <v>60</v>
      </c>
      <c r="I411" s="3">
        <v>230000</v>
      </c>
      <c r="J411" s="2">
        <v>0.28000000000000003</v>
      </c>
      <c r="K411" s="20">
        <v>0.4</v>
      </c>
      <c r="L411" s="19">
        <v>294400</v>
      </c>
      <c r="M411" s="3">
        <v>322000</v>
      </c>
      <c r="N411" s="19">
        <v>27600</v>
      </c>
      <c r="O411" s="19">
        <v>2471782400</v>
      </c>
      <c r="P411" s="19">
        <v>2297985200</v>
      </c>
      <c r="Q411">
        <v>8396</v>
      </c>
      <c r="R411" s="11">
        <v>7136.5999999999995</v>
      </c>
      <c r="S411" s="12">
        <v>-1259.4000000000005</v>
      </c>
      <c r="T411" s="3">
        <f t="shared" si="13"/>
        <v>-173797200</v>
      </c>
    </row>
    <row r="412" spans="1:20" x14ac:dyDescent="0.3">
      <c r="A412" s="46">
        <v>45352</v>
      </c>
      <c r="B412" s="4">
        <v>2024</v>
      </c>
      <c r="C412" s="18" t="str">
        <f t="shared" si="12"/>
        <v>Mar</v>
      </c>
      <c r="D412" s="4" t="s">
        <v>11</v>
      </c>
      <c r="E412" s="4" t="s">
        <v>24</v>
      </c>
      <c r="F412" s="4">
        <v>373</v>
      </c>
      <c r="G412" s="4" t="s">
        <v>35</v>
      </c>
      <c r="H412" t="s">
        <v>60</v>
      </c>
      <c r="I412" s="6">
        <v>230000</v>
      </c>
      <c r="J412" s="7">
        <v>0.28000000000000003</v>
      </c>
      <c r="K412" s="20">
        <v>0.4</v>
      </c>
      <c r="L412" s="19">
        <v>294400</v>
      </c>
      <c r="M412" s="6">
        <v>322000</v>
      </c>
      <c r="N412" s="19">
        <v>27600</v>
      </c>
      <c r="O412" s="19">
        <v>2573056000</v>
      </c>
      <c r="P412" s="19">
        <v>2392138000</v>
      </c>
      <c r="Q412" s="4">
        <v>8740</v>
      </c>
      <c r="R412" s="11">
        <v>7429</v>
      </c>
      <c r="S412" s="12">
        <v>-1311</v>
      </c>
      <c r="T412" s="3">
        <f t="shared" si="13"/>
        <v>-180918000</v>
      </c>
    </row>
    <row r="413" spans="1:20" x14ac:dyDescent="0.3">
      <c r="A413" s="45">
        <v>45383</v>
      </c>
      <c r="B413">
        <v>2024</v>
      </c>
      <c r="C413" s="18" t="str">
        <f t="shared" si="12"/>
        <v>Apr</v>
      </c>
      <c r="D413" t="s">
        <v>11</v>
      </c>
      <c r="E413" t="s">
        <v>24</v>
      </c>
      <c r="F413">
        <v>373</v>
      </c>
      <c r="G413" t="s">
        <v>35</v>
      </c>
      <c r="H413" t="s">
        <v>60</v>
      </c>
      <c r="I413" s="3">
        <v>230000</v>
      </c>
      <c r="J413" s="2">
        <v>0.28000000000000003</v>
      </c>
      <c r="K413" s="20">
        <v>0.4</v>
      </c>
      <c r="L413" s="19">
        <v>294400</v>
      </c>
      <c r="M413" s="3">
        <v>322000</v>
      </c>
      <c r="N413" s="19">
        <v>27600</v>
      </c>
      <c r="O413" s="19">
        <v>2131750400</v>
      </c>
      <c r="P413" s="19">
        <v>1981861699.9999998</v>
      </c>
      <c r="Q413">
        <v>7241</v>
      </c>
      <c r="R413" s="11">
        <v>6154.8499999999995</v>
      </c>
      <c r="S413" s="12">
        <v>-1086.1500000000005</v>
      </c>
      <c r="T413" s="3">
        <f t="shared" si="13"/>
        <v>-149888700.00000024</v>
      </c>
    </row>
    <row r="414" spans="1:20" x14ac:dyDescent="0.3">
      <c r="A414" s="46">
        <v>45413</v>
      </c>
      <c r="B414" s="4">
        <v>2024</v>
      </c>
      <c r="C414" s="18" t="str">
        <f t="shared" si="12"/>
        <v>May</v>
      </c>
      <c r="D414" s="4" t="s">
        <v>11</v>
      </c>
      <c r="E414" s="4" t="s">
        <v>24</v>
      </c>
      <c r="F414" s="4">
        <v>373</v>
      </c>
      <c r="G414" s="4" t="s">
        <v>35</v>
      </c>
      <c r="H414" t="s">
        <v>60</v>
      </c>
      <c r="I414" s="6">
        <v>230000</v>
      </c>
      <c r="J414" s="7">
        <v>0.28000000000000003</v>
      </c>
      <c r="K414" s="20">
        <v>0.4</v>
      </c>
      <c r="L414" s="19">
        <v>294400</v>
      </c>
      <c r="M414" s="6">
        <v>322000</v>
      </c>
      <c r="N414" s="19">
        <v>27600</v>
      </c>
      <c r="O414" s="19">
        <v>2568934400</v>
      </c>
      <c r="P414" s="19">
        <v>2388306200</v>
      </c>
      <c r="Q414" s="4">
        <v>8726</v>
      </c>
      <c r="R414" s="11">
        <v>7417.0999999999995</v>
      </c>
      <c r="S414" s="12">
        <v>-1308.9000000000005</v>
      </c>
      <c r="T414" s="3">
        <f t="shared" si="13"/>
        <v>-180628200</v>
      </c>
    </row>
    <row r="415" spans="1:20" x14ac:dyDescent="0.3">
      <c r="A415" s="45">
        <v>45444</v>
      </c>
      <c r="B415">
        <v>2024</v>
      </c>
      <c r="C415" s="18" t="str">
        <f t="shared" si="12"/>
        <v>Jun</v>
      </c>
      <c r="D415" t="s">
        <v>11</v>
      </c>
      <c r="E415" t="s">
        <v>24</v>
      </c>
      <c r="F415">
        <v>373</v>
      </c>
      <c r="G415" t="s">
        <v>35</v>
      </c>
      <c r="H415" t="s">
        <v>60</v>
      </c>
      <c r="I415" s="3">
        <v>230000</v>
      </c>
      <c r="J415" s="2">
        <v>0.28000000000000003</v>
      </c>
      <c r="K415" s="20">
        <v>0.4</v>
      </c>
      <c r="L415" s="19">
        <v>294400</v>
      </c>
      <c r="M415" s="3">
        <v>322000</v>
      </c>
      <c r="N415" s="19">
        <v>27600</v>
      </c>
      <c r="O415" s="19">
        <v>1961881600</v>
      </c>
      <c r="P415" s="19">
        <v>1823936800</v>
      </c>
      <c r="Q415">
        <v>6664</v>
      </c>
      <c r="R415" s="11">
        <v>5664.4</v>
      </c>
      <c r="S415" s="12">
        <v>-999.60000000000036</v>
      </c>
      <c r="T415" s="3">
        <f t="shared" si="13"/>
        <v>-137944800</v>
      </c>
    </row>
    <row r="416" spans="1:20" x14ac:dyDescent="0.3">
      <c r="A416" s="46">
        <v>45474</v>
      </c>
      <c r="B416" s="4">
        <v>2024</v>
      </c>
      <c r="C416" s="18" t="str">
        <f t="shared" si="12"/>
        <v>Jul</v>
      </c>
      <c r="D416" s="4" t="s">
        <v>11</v>
      </c>
      <c r="E416" s="4" t="s">
        <v>24</v>
      </c>
      <c r="F416" s="4">
        <v>373</v>
      </c>
      <c r="G416" s="4" t="s">
        <v>35</v>
      </c>
      <c r="H416" t="s">
        <v>60</v>
      </c>
      <c r="I416" s="6">
        <v>230000</v>
      </c>
      <c r="J416" s="7">
        <v>0.28000000000000003</v>
      </c>
      <c r="K416" s="20">
        <v>0.4</v>
      </c>
      <c r="L416" s="19">
        <v>294400</v>
      </c>
      <c r="M416" s="6">
        <v>322000</v>
      </c>
      <c r="N416" s="19">
        <v>27600</v>
      </c>
      <c r="O416" s="19">
        <v>1984256000</v>
      </c>
      <c r="P416" s="19">
        <v>1844738000</v>
      </c>
      <c r="Q416" s="4">
        <v>6740</v>
      </c>
      <c r="R416" s="11">
        <v>5729</v>
      </c>
      <c r="S416" s="12">
        <v>-1011</v>
      </c>
      <c r="T416" s="3">
        <f t="shared" si="13"/>
        <v>-139518000</v>
      </c>
    </row>
    <row r="417" spans="1:20" x14ac:dyDescent="0.3">
      <c r="A417" s="45">
        <v>45505</v>
      </c>
      <c r="B417">
        <v>2024</v>
      </c>
      <c r="C417" s="18" t="str">
        <f t="shared" si="12"/>
        <v>Aug</v>
      </c>
      <c r="D417" t="s">
        <v>11</v>
      </c>
      <c r="E417" t="s">
        <v>24</v>
      </c>
      <c r="F417">
        <v>373</v>
      </c>
      <c r="G417" t="s">
        <v>35</v>
      </c>
      <c r="H417" t="s">
        <v>60</v>
      </c>
      <c r="I417" s="3">
        <v>230000</v>
      </c>
      <c r="J417" s="2">
        <v>0.28000000000000003</v>
      </c>
      <c r="K417" s="20">
        <v>0.4</v>
      </c>
      <c r="L417" s="19">
        <v>294400</v>
      </c>
      <c r="M417" s="3">
        <v>322000</v>
      </c>
      <c r="N417" s="19">
        <v>27600</v>
      </c>
      <c r="O417" s="19">
        <v>2241267200</v>
      </c>
      <c r="P417" s="19">
        <v>2083678100</v>
      </c>
      <c r="Q417">
        <v>7613</v>
      </c>
      <c r="R417" s="11">
        <v>6471.05</v>
      </c>
      <c r="S417" s="12">
        <v>-1141.9499999999998</v>
      </c>
      <c r="T417" s="3">
        <f t="shared" si="13"/>
        <v>-157589100</v>
      </c>
    </row>
    <row r="418" spans="1:20" x14ac:dyDescent="0.3">
      <c r="A418" s="46">
        <v>45536</v>
      </c>
      <c r="B418" s="4">
        <v>2024</v>
      </c>
      <c r="C418" s="18" t="str">
        <f t="shared" si="12"/>
        <v>Sep</v>
      </c>
      <c r="D418" s="4" t="s">
        <v>11</v>
      </c>
      <c r="E418" s="4" t="s">
        <v>24</v>
      </c>
      <c r="F418" s="4">
        <v>373</v>
      </c>
      <c r="G418" s="4" t="s">
        <v>35</v>
      </c>
      <c r="H418" t="s">
        <v>60</v>
      </c>
      <c r="I418" s="6">
        <v>230000</v>
      </c>
      <c r="J418" s="7">
        <v>0.28000000000000003</v>
      </c>
      <c r="K418" s="20">
        <v>0.4</v>
      </c>
      <c r="L418" s="19">
        <v>294400</v>
      </c>
      <c r="M418" s="6">
        <v>322000</v>
      </c>
      <c r="N418" s="19">
        <v>27600</v>
      </c>
      <c r="O418" s="19">
        <v>1789068800</v>
      </c>
      <c r="P418" s="19">
        <v>1663274900</v>
      </c>
      <c r="Q418" s="4">
        <v>6077</v>
      </c>
      <c r="R418" s="11">
        <v>5165.45</v>
      </c>
      <c r="S418" s="12">
        <v>-911.55000000000018</v>
      </c>
      <c r="T418" s="3">
        <f t="shared" si="13"/>
        <v>-125793900</v>
      </c>
    </row>
    <row r="419" spans="1:20" x14ac:dyDescent="0.3">
      <c r="A419" s="45">
        <v>45566</v>
      </c>
      <c r="B419">
        <v>2024</v>
      </c>
      <c r="C419" s="18" t="str">
        <f t="shared" si="12"/>
        <v>Oct</v>
      </c>
      <c r="D419" t="s">
        <v>11</v>
      </c>
      <c r="E419" t="s">
        <v>24</v>
      </c>
      <c r="F419">
        <v>373</v>
      </c>
      <c r="G419" t="s">
        <v>35</v>
      </c>
      <c r="H419" t="s">
        <v>60</v>
      </c>
      <c r="I419" s="3">
        <v>230000</v>
      </c>
      <c r="J419" s="2">
        <v>0.28000000000000003</v>
      </c>
      <c r="K419" s="20">
        <v>0.4</v>
      </c>
      <c r="L419" s="19">
        <v>294400</v>
      </c>
      <c r="M419" s="3">
        <v>322000</v>
      </c>
      <c r="N419" s="19">
        <v>27600</v>
      </c>
      <c r="O419" s="19">
        <v>1754035200</v>
      </c>
      <c r="P419" s="19">
        <v>1630704600</v>
      </c>
      <c r="Q419">
        <v>5958</v>
      </c>
      <c r="R419" s="11">
        <v>5064.3</v>
      </c>
      <c r="S419" s="12">
        <v>-893.69999999999982</v>
      </c>
      <c r="T419" s="3">
        <f t="shared" si="13"/>
        <v>-123330600</v>
      </c>
    </row>
    <row r="420" spans="1:20" x14ac:dyDescent="0.3">
      <c r="A420" s="46">
        <v>45597</v>
      </c>
      <c r="B420" s="4">
        <v>2024</v>
      </c>
      <c r="C420" s="18" t="str">
        <f t="shared" si="12"/>
        <v>Nov</v>
      </c>
      <c r="D420" s="4" t="s">
        <v>11</v>
      </c>
      <c r="E420" s="4" t="s">
        <v>24</v>
      </c>
      <c r="F420" s="4">
        <v>373</v>
      </c>
      <c r="G420" s="4" t="s">
        <v>35</v>
      </c>
      <c r="H420" t="s">
        <v>60</v>
      </c>
      <c r="I420" s="6">
        <v>230000</v>
      </c>
      <c r="J420" s="7">
        <v>0.28000000000000003</v>
      </c>
      <c r="K420" s="20">
        <v>0.4</v>
      </c>
      <c r="L420" s="19">
        <v>294400</v>
      </c>
      <c r="M420" s="6">
        <v>322000</v>
      </c>
      <c r="N420" s="19">
        <v>27600</v>
      </c>
      <c r="O420" s="19">
        <v>2313984000</v>
      </c>
      <c r="P420" s="19">
        <v>2151282000</v>
      </c>
      <c r="Q420" s="4">
        <v>7860</v>
      </c>
      <c r="R420" s="11">
        <v>6681</v>
      </c>
      <c r="S420" s="12">
        <v>-1179</v>
      </c>
      <c r="T420" s="3">
        <f t="shared" si="13"/>
        <v>-162702000</v>
      </c>
    </row>
    <row r="421" spans="1:20" x14ac:dyDescent="0.3">
      <c r="A421" s="45">
        <v>45627</v>
      </c>
      <c r="B421">
        <v>2024</v>
      </c>
      <c r="C421" s="18" t="str">
        <f t="shared" si="12"/>
        <v>Dec</v>
      </c>
      <c r="D421" t="s">
        <v>11</v>
      </c>
      <c r="E421" t="s">
        <v>24</v>
      </c>
      <c r="F421">
        <v>373</v>
      </c>
      <c r="G421" t="s">
        <v>35</v>
      </c>
      <c r="H421" t="s">
        <v>60</v>
      </c>
      <c r="I421" s="3">
        <v>230000</v>
      </c>
      <c r="J421" s="2">
        <v>0.28000000000000003</v>
      </c>
      <c r="K421" s="20">
        <v>0.4</v>
      </c>
      <c r="L421" s="19">
        <v>294400</v>
      </c>
      <c r="M421" s="3">
        <v>322000</v>
      </c>
      <c r="N421" s="19">
        <v>27600</v>
      </c>
      <c r="O421" s="19">
        <v>2263641600</v>
      </c>
      <c r="P421" s="19">
        <v>2104479300</v>
      </c>
      <c r="Q421">
        <v>7689</v>
      </c>
      <c r="R421" s="11">
        <v>6535.65</v>
      </c>
      <c r="S421" s="12">
        <v>-1153.3500000000004</v>
      </c>
      <c r="T421" s="3">
        <f t="shared" si="13"/>
        <v>-159162300</v>
      </c>
    </row>
    <row r="422" spans="1:20" x14ac:dyDescent="0.3">
      <c r="A422" s="46">
        <v>45658</v>
      </c>
      <c r="B422" s="4">
        <v>2025</v>
      </c>
      <c r="C422" s="18" t="str">
        <f t="shared" si="12"/>
        <v>Jan</v>
      </c>
      <c r="D422" s="4" t="s">
        <v>11</v>
      </c>
      <c r="E422" s="4" t="s">
        <v>24</v>
      </c>
      <c r="F422" s="4">
        <v>373</v>
      </c>
      <c r="G422" s="4" t="s">
        <v>35</v>
      </c>
      <c r="H422" t="s">
        <v>60</v>
      </c>
      <c r="I422" s="6">
        <v>230000</v>
      </c>
      <c r="J422" s="7">
        <v>0.28000000000000003</v>
      </c>
      <c r="K422" s="20">
        <v>0.4</v>
      </c>
      <c r="L422" s="19">
        <v>294400</v>
      </c>
      <c r="M422" s="6">
        <v>322000</v>
      </c>
      <c r="N422" s="19">
        <v>27600</v>
      </c>
      <c r="O422" s="19">
        <v>2768243200</v>
      </c>
      <c r="P422" s="19">
        <v>2573601100</v>
      </c>
      <c r="Q422" s="4">
        <v>9403</v>
      </c>
      <c r="R422" s="11">
        <v>7992.55</v>
      </c>
      <c r="S422" s="12">
        <v>-1410.4499999999998</v>
      </c>
      <c r="T422" s="3">
        <f t="shared" si="13"/>
        <v>-194642100</v>
      </c>
    </row>
    <row r="423" spans="1:20" x14ac:dyDescent="0.3">
      <c r="A423" s="45">
        <v>45689</v>
      </c>
      <c r="B423">
        <v>2025</v>
      </c>
      <c r="C423" s="18" t="str">
        <f t="shared" si="12"/>
        <v>Feb</v>
      </c>
      <c r="D423" t="s">
        <v>11</v>
      </c>
      <c r="E423" t="s">
        <v>24</v>
      </c>
      <c r="F423">
        <v>373</v>
      </c>
      <c r="G423" t="s">
        <v>35</v>
      </c>
      <c r="H423" t="s">
        <v>60</v>
      </c>
      <c r="I423" s="3">
        <v>230000</v>
      </c>
      <c r="J423" s="2">
        <v>0.28000000000000003</v>
      </c>
      <c r="K423" s="20">
        <v>0.4</v>
      </c>
      <c r="L423" s="19">
        <v>294400</v>
      </c>
      <c r="M423" s="3">
        <v>322000</v>
      </c>
      <c r="N423" s="19">
        <v>27600</v>
      </c>
      <c r="O423" s="19">
        <v>1893580800</v>
      </c>
      <c r="P423" s="19">
        <v>1760438400</v>
      </c>
      <c r="Q423">
        <v>6432</v>
      </c>
      <c r="R423" s="11">
        <v>5467.2</v>
      </c>
      <c r="S423" s="12">
        <v>-964.80000000000018</v>
      </c>
      <c r="T423" s="3">
        <f t="shared" si="13"/>
        <v>-133142400</v>
      </c>
    </row>
    <row r="424" spans="1:20" x14ac:dyDescent="0.3">
      <c r="A424" s="46">
        <v>45717</v>
      </c>
      <c r="B424" s="4">
        <v>2025</v>
      </c>
      <c r="C424" s="18" t="str">
        <f t="shared" si="12"/>
        <v>Mar</v>
      </c>
      <c r="D424" s="4" t="s">
        <v>11</v>
      </c>
      <c r="E424" s="4" t="s">
        <v>24</v>
      </c>
      <c r="F424" s="4">
        <v>373</v>
      </c>
      <c r="G424" s="4" t="s">
        <v>35</v>
      </c>
      <c r="H424" t="s">
        <v>60</v>
      </c>
      <c r="I424" s="6">
        <v>230000</v>
      </c>
      <c r="J424" s="7">
        <v>0.28000000000000003</v>
      </c>
      <c r="K424" s="20">
        <v>0.4</v>
      </c>
      <c r="L424" s="19">
        <v>294400</v>
      </c>
      <c r="M424" s="6">
        <v>322000</v>
      </c>
      <c r="N424" s="19">
        <v>27600</v>
      </c>
      <c r="O424" s="19">
        <v>2265996800</v>
      </c>
      <c r="P424" s="19">
        <v>2106668900</v>
      </c>
      <c r="Q424" s="4">
        <v>7697</v>
      </c>
      <c r="R424" s="11">
        <v>6542.45</v>
      </c>
      <c r="S424" s="12">
        <v>-1154.5500000000002</v>
      </c>
      <c r="T424" s="3">
        <f t="shared" si="13"/>
        <v>-159327900</v>
      </c>
    </row>
    <row r="425" spans="1:20" x14ac:dyDescent="0.3">
      <c r="A425" s="45">
        <v>45748</v>
      </c>
      <c r="B425">
        <v>2025</v>
      </c>
      <c r="C425" s="18" t="str">
        <f t="shared" si="12"/>
        <v>Apr</v>
      </c>
      <c r="D425" t="s">
        <v>11</v>
      </c>
      <c r="E425" t="s">
        <v>24</v>
      </c>
      <c r="F425">
        <v>373</v>
      </c>
      <c r="G425" t="s">
        <v>35</v>
      </c>
      <c r="H425" t="s">
        <v>60</v>
      </c>
      <c r="I425" s="3">
        <v>230000</v>
      </c>
      <c r="J425" s="2">
        <v>0.28000000000000003</v>
      </c>
      <c r="K425" s="20">
        <v>0.4</v>
      </c>
      <c r="L425" s="19">
        <v>294400</v>
      </c>
      <c r="M425" s="3">
        <v>322000</v>
      </c>
      <c r="N425" s="19">
        <v>27600</v>
      </c>
      <c r="O425" s="19">
        <v>2782963200</v>
      </c>
      <c r="P425" s="19">
        <v>2587286100</v>
      </c>
      <c r="Q425">
        <v>9453</v>
      </c>
      <c r="R425" s="11">
        <v>8035.05</v>
      </c>
      <c r="S425" s="12">
        <v>-1417.9499999999998</v>
      </c>
      <c r="T425" s="3">
        <f t="shared" si="13"/>
        <v>-195677100</v>
      </c>
    </row>
    <row r="426" spans="1:20" x14ac:dyDescent="0.3">
      <c r="A426" s="46">
        <v>45778</v>
      </c>
      <c r="B426" s="4">
        <v>2025</v>
      </c>
      <c r="C426" s="18" t="str">
        <f t="shared" si="12"/>
        <v>May</v>
      </c>
      <c r="D426" s="4" t="s">
        <v>11</v>
      </c>
      <c r="E426" s="4" t="s">
        <v>24</v>
      </c>
      <c r="F426" s="4">
        <v>373</v>
      </c>
      <c r="G426" s="4" t="s">
        <v>35</v>
      </c>
      <c r="H426" t="s">
        <v>60</v>
      </c>
      <c r="I426" s="6">
        <v>230000</v>
      </c>
      <c r="J426" s="7">
        <v>0.28000000000000003</v>
      </c>
      <c r="K426" s="20">
        <v>0.4</v>
      </c>
      <c r="L426" s="19">
        <v>294400</v>
      </c>
      <c r="M426" s="6">
        <v>322000</v>
      </c>
      <c r="N426" s="19">
        <v>27600</v>
      </c>
      <c r="O426" s="19">
        <v>3298163200</v>
      </c>
      <c r="P426" s="19">
        <v>3066261100</v>
      </c>
      <c r="Q426" s="4">
        <v>11203</v>
      </c>
      <c r="R426" s="11">
        <v>9522.5499999999993</v>
      </c>
      <c r="S426" s="12">
        <v>-1680.4500000000007</v>
      </c>
      <c r="T426" s="3">
        <f t="shared" si="13"/>
        <v>-231902100</v>
      </c>
    </row>
    <row r="427" spans="1:20" x14ac:dyDescent="0.3">
      <c r="A427" s="45">
        <v>45809</v>
      </c>
      <c r="B427">
        <v>2025</v>
      </c>
      <c r="C427" s="18" t="str">
        <f t="shared" si="12"/>
        <v>Jun</v>
      </c>
      <c r="D427" t="s">
        <v>11</v>
      </c>
      <c r="E427" t="s">
        <v>24</v>
      </c>
      <c r="F427">
        <v>373</v>
      </c>
      <c r="G427" t="s">
        <v>35</v>
      </c>
      <c r="H427" t="s">
        <v>60</v>
      </c>
      <c r="I427" s="3">
        <v>230000</v>
      </c>
      <c r="J427" s="2">
        <v>0.28000000000000003</v>
      </c>
      <c r="K427" s="20">
        <v>0.4</v>
      </c>
      <c r="L427" s="19">
        <v>294400</v>
      </c>
      <c r="M427" s="3">
        <v>322000</v>
      </c>
      <c r="N427" s="19">
        <v>27600</v>
      </c>
      <c r="O427" s="19">
        <v>2047846400</v>
      </c>
      <c r="P427" s="19">
        <v>1903857199.9999998</v>
      </c>
      <c r="Q427">
        <v>6956</v>
      </c>
      <c r="R427" s="11">
        <v>5912.5999999999995</v>
      </c>
      <c r="S427" s="12">
        <v>-1043.4000000000005</v>
      </c>
      <c r="T427" s="3">
        <f t="shared" si="13"/>
        <v>-143989200.00000024</v>
      </c>
    </row>
    <row r="428" spans="1:20" x14ac:dyDescent="0.3">
      <c r="A428" s="46">
        <v>45839</v>
      </c>
      <c r="B428" s="4">
        <v>2025</v>
      </c>
      <c r="C428" s="18" t="str">
        <f t="shared" si="12"/>
        <v>Jul</v>
      </c>
      <c r="D428" s="4" t="s">
        <v>11</v>
      </c>
      <c r="E428" s="4" t="s">
        <v>24</v>
      </c>
      <c r="F428" s="4">
        <v>373</v>
      </c>
      <c r="G428" s="4" t="s">
        <v>35</v>
      </c>
      <c r="H428" t="s">
        <v>60</v>
      </c>
      <c r="I428" s="6">
        <v>230000</v>
      </c>
      <c r="J428" s="7">
        <v>0.28000000000000003</v>
      </c>
      <c r="K428" s="20">
        <v>0.4</v>
      </c>
      <c r="L428" s="19">
        <v>294400</v>
      </c>
      <c r="M428" s="6">
        <v>322000</v>
      </c>
      <c r="N428" s="19">
        <v>27600</v>
      </c>
      <c r="O428" s="19">
        <v>2278067200</v>
      </c>
      <c r="P428" s="19">
        <v>2117890600</v>
      </c>
      <c r="Q428" s="4">
        <v>7738</v>
      </c>
      <c r="R428" s="11">
        <v>6577.3</v>
      </c>
      <c r="S428" s="12">
        <v>-1160.6999999999998</v>
      </c>
      <c r="T428" s="3">
        <f t="shared" si="13"/>
        <v>-160176600</v>
      </c>
    </row>
    <row r="429" spans="1:20" x14ac:dyDescent="0.3">
      <c r="A429" s="45">
        <v>45870</v>
      </c>
      <c r="B429">
        <v>2025</v>
      </c>
      <c r="C429" s="18" t="str">
        <f t="shared" si="12"/>
        <v>Aug</v>
      </c>
      <c r="D429" t="s">
        <v>11</v>
      </c>
      <c r="E429" t="s">
        <v>24</v>
      </c>
      <c r="F429">
        <v>373</v>
      </c>
      <c r="G429" t="s">
        <v>35</v>
      </c>
      <c r="H429" t="s">
        <v>60</v>
      </c>
      <c r="I429" s="3">
        <v>230000</v>
      </c>
      <c r="J429" s="2">
        <v>0.28000000000000003</v>
      </c>
      <c r="K429" s="20">
        <v>0.4</v>
      </c>
      <c r="L429" s="19">
        <v>294400</v>
      </c>
      <c r="M429" s="3">
        <v>322000</v>
      </c>
      <c r="N429" s="19">
        <v>27600</v>
      </c>
      <c r="O429" s="19">
        <v>1997504000</v>
      </c>
      <c r="P429" s="19">
        <v>1857054500</v>
      </c>
      <c r="Q429">
        <v>6785</v>
      </c>
      <c r="R429" s="11">
        <v>5767.25</v>
      </c>
      <c r="S429" s="12">
        <v>-1017.75</v>
      </c>
      <c r="T429" s="3">
        <f t="shared" si="13"/>
        <v>-140449500</v>
      </c>
    </row>
    <row r="430" spans="1:20" x14ac:dyDescent="0.3">
      <c r="A430" s="46">
        <v>45901</v>
      </c>
      <c r="B430" s="4">
        <v>2025</v>
      </c>
      <c r="C430" s="18" t="str">
        <f t="shared" si="12"/>
        <v>Sep</v>
      </c>
      <c r="D430" s="4" t="s">
        <v>11</v>
      </c>
      <c r="E430" s="4" t="s">
        <v>24</v>
      </c>
      <c r="F430" s="4">
        <v>373</v>
      </c>
      <c r="G430" s="4" t="s">
        <v>35</v>
      </c>
      <c r="H430" t="s">
        <v>60</v>
      </c>
      <c r="I430" s="6">
        <v>230000</v>
      </c>
      <c r="J430" s="7">
        <v>0.28000000000000003</v>
      </c>
      <c r="K430" s="20">
        <v>0.4</v>
      </c>
      <c r="L430" s="19">
        <v>294400</v>
      </c>
      <c r="M430" s="6">
        <v>322000</v>
      </c>
      <c r="N430" s="19">
        <v>27600</v>
      </c>
      <c r="O430" s="19">
        <v>2136166400</v>
      </c>
      <c r="P430" s="19">
        <v>1985967199.9999998</v>
      </c>
      <c r="Q430" s="4">
        <v>7256</v>
      </c>
      <c r="R430" s="11">
        <v>6167.5999999999995</v>
      </c>
      <c r="S430" s="12">
        <v>-1088.4000000000005</v>
      </c>
      <c r="T430" s="3">
        <f t="shared" si="13"/>
        <v>-150199200.00000024</v>
      </c>
    </row>
    <row r="431" spans="1:20" x14ac:dyDescent="0.3">
      <c r="A431" s="45">
        <v>44927</v>
      </c>
      <c r="B431">
        <v>2023</v>
      </c>
      <c r="C431" s="18" t="str">
        <f t="shared" si="12"/>
        <v>Jan</v>
      </c>
      <c r="D431" t="s">
        <v>11</v>
      </c>
      <c r="E431" t="s">
        <v>25</v>
      </c>
      <c r="F431">
        <v>373</v>
      </c>
      <c r="G431" t="s">
        <v>35</v>
      </c>
      <c r="H431" t="s">
        <v>60</v>
      </c>
      <c r="I431" s="3">
        <v>240000</v>
      </c>
      <c r="J431" s="2">
        <v>0.28000000000000003</v>
      </c>
      <c r="K431" s="20">
        <v>0.4</v>
      </c>
      <c r="L431" s="19">
        <v>307200</v>
      </c>
      <c r="M431" s="3">
        <v>336000</v>
      </c>
      <c r="N431" s="19">
        <v>28800</v>
      </c>
      <c r="O431" s="19">
        <v>2024140800</v>
      </c>
      <c r="P431" s="19">
        <v>1881818399.9999998</v>
      </c>
      <c r="Q431">
        <v>6589</v>
      </c>
      <c r="R431" s="11">
        <v>5600.65</v>
      </c>
      <c r="S431" s="12">
        <v>-988.35000000000036</v>
      </c>
      <c r="T431" s="3">
        <f t="shared" si="13"/>
        <v>-142322400.00000024</v>
      </c>
    </row>
    <row r="432" spans="1:20" x14ac:dyDescent="0.3">
      <c r="A432" s="46">
        <v>44958</v>
      </c>
      <c r="B432" s="4">
        <v>2023</v>
      </c>
      <c r="C432" s="18" t="str">
        <f t="shared" si="12"/>
        <v>Feb</v>
      </c>
      <c r="D432" s="4" t="s">
        <v>11</v>
      </c>
      <c r="E432" s="4" t="s">
        <v>25</v>
      </c>
      <c r="F432" s="4">
        <v>373</v>
      </c>
      <c r="G432" s="4" t="s">
        <v>35</v>
      </c>
      <c r="H432" t="s">
        <v>60</v>
      </c>
      <c r="I432" s="6">
        <v>240000</v>
      </c>
      <c r="J432" s="7">
        <v>0.28000000000000003</v>
      </c>
      <c r="K432" s="20">
        <v>0.4</v>
      </c>
      <c r="L432" s="19">
        <v>307200</v>
      </c>
      <c r="M432" s="6">
        <v>336000</v>
      </c>
      <c r="N432" s="19">
        <v>28800</v>
      </c>
      <c r="O432" s="19">
        <v>2004480000</v>
      </c>
      <c r="P432" s="19">
        <v>1863540000</v>
      </c>
      <c r="Q432" s="4">
        <v>6525</v>
      </c>
      <c r="R432" s="11">
        <v>5546.25</v>
      </c>
      <c r="S432" s="12">
        <v>-978.75</v>
      </c>
      <c r="T432" s="3">
        <f t="shared" si="13"/>
        <v>-140940000</v>
      </c>
    </row>
    <row r="433" spans="1:20" x14ac:dyDescent="0.3">
      <c r="A433" s="45">
        <v>44986</v>
      </c>
      <c r="B433">
        <v>2023</v>
      </c>
      <c r="C433" s="18" t="str">
        <f t="shared" si="12"/>
        <v>Mar</v>
      </c>
      <c r="D433" t="s">
        <v>11</v>
      </c>
      <c r="E433" t="s">
        <v>25</v>
      </c>
      <c r="F433">
        <v>373</v>
      </c>
      <c r="G433" t="s">
        <v>35</v>
      </c>
      <c r="H433" t="s">
        <v>60</v>
      </c>
      <c r="I433" s="3">
        <v>240000</v>
      </c>
      <c r="J433" s="2">
        <v>0.28000000000000003</v>
      </c>
      <c r="K433" s="20">
        <v>0.4</v>
      </c>
      <c r="L433" s="19">
        <v>307200</v>
      </c>
      <c r="M433" s="3">
        <v>336000</v>
      </c>
      <c r="N433" s="19">
        <v>28800</v>
      </c>
      <c r="O433" s="19">
        <v>1857024000</v>
      </c>
      <c r="P433" s="19">
        <v>1726452000</v>
      </c>
      <c r="Q433">
        <v>6045</v>
      </c>
      <c r="R433" s="11">
        <v>5138.25</v>
      </c>
      <c r="S433" s="12">
        <v>-906.75</v>
      </c>
      <c r="T433" s="3">
        <f t="shared" si="13"/>
        <v>-130572000</v>
      </c>
    </row>
    <row r="434" spans="1:20" x14ac:dyDescent="0.3">
      <c r="A434" s="46">
        <v>45017</v>
      </c>
      <c r="B434" s="4">
        <v>2023</v>
      </c>
      <c r="C434" s="18" t="str">
        <f t="shared" si="12"/>
        <v>Apr</v>
      </c>
      <c r="D434" s="4" t="s">
        <v>11</v>
      </c>
      <c r="E434" s="4" t="s">
        <v>25</v>
      </c>
      <c r="F434" s="4">
        <v>373</v>
      </c>
      <c r="G434" s="4" t="s">
        <v>35</v>
      </c>
      <c r="H434" t="s">
        <v>60</v>
      </c>
      <c r="I434" s="6">
        <v>240000</v>
      </c>
      <c r="J434" s="7">
        <v>0.28000000000000003</v>
      </c>
      <c r="K434" s="20">
        <v>0.4</v>
      </c>
      <c r="L434" s="19">
        <v>307200</v>
      </c>
      <c r="M434" s="6">
        <v>336000</v>
      </c>
      <c r="N434" s="19">
        <v>28800</v>
      </c>
      <c r="O434" s="19">
        <v>2058854400</v>
      </c>
      <c r="P434" s="19">
        <v>1914091200</v>
      </c>
      <c r="Q434" s="4">
        <v>6702</v>
      </c>
      <c r="R434" s="11">
        <v>5696.7</v>
      </c>
      <c r="S434" s="12">
        <v>-1005.3000000000002</v>
      </c>
      <c r="T434" s="3">
        <f t="shared" si="13"/>
        <v>-144763200</v>
      </c>
    </row>
    <row r="435" spans="1:20" x14ac:dyDescent="0.3">
      <c r="A435" s="45">
        <v>45047</v>
      </c>
      <c r="B435">
        <v>2023</v>
      </c>
      <c r="C435" s="18" t="str">
        <f t="shared" si="12"/>
        <v>May</v>
      </c>
      <c r="D435" t="s">
        <v>11</v>
      </c>
      <c r="E435" t="s">
        <v>25</v>
      </c>
      <c r="F435">
        <v>373</v>
      </c>
      <c r="G435" t="s">
        <v>35</v>
      </c>
      <c r="H435" t="s">
        <v>60</v>
      </c>
      <c r="I435" s="3">
        <v>240000</v>
      </c>
      <c r="J435" s="2">
        <v>0.28000000000000003</v>
      </c>
      <c r="K435" s="20">
        <v>0.4</v>
      </c>
      <c r="L435" s="19">
        <v>307200</v>
      </c>
      <c r="M435" s="3">
        <v>336000</v>
      </c>
      <c r="N435" s="19">
        <v>28800</v>
      </c>
      <c r="O435" s="19">
        <v>2363904000</v>
      </c>
      <c r="P435" s="19">
        <v>2197692000</v>
      </c>
      <c r="Q435">
        <v>7695</v>
      </c>
      <c r="R435" s="11">
        <v>6540.75</v>
      </c>
      <c r="S435" s="12">
        <v>-1154.25</v>
      </c>
      <c r="T435" s="3">
        <f t="shared" si="13"/>
        <v>-166212000</v>
      </c>
    </row>
    <row r="436" spans="1:20" x14ac:dyDescent="0.3">
      <c r="A436" s="46">
        <v>45078</v>
      </c>
      <c r="B436" s="4">
        <v>2023</v>
      </c>
      <c r="C436" s="18" t="str">
        <f t="shared" si="12"/>
        <v>Jun</v>
      </c>
      <c r="D436" s="4" t="s">
        <v>11</v>
      </c>
      <c r="E436" s="4" t="s">
        <v>25</v>
      </c>
      <c r="F436" s="4">
        <v>373</v>
      </c>
      <c r="G436" s="4" t="s">
        <v>35</v>
      </c>
      <c r="H436" t="s">
        <v>60</v>
      </c>
      <c r="I436" s="6">
        <v>240000</v>
      </c>
      <c r="J436" s="7">
        <v>0.28000000000000003</v>
      </c>
      <c r="K436" s="20">
        <v>0.4</v>
      </c>
      <c r="L436" s="19">
        <v>307200</v>
      </c>
      <c r="M436" s="6">
        <v>336000</v>
      </c>
      <c r="N436" s="19">
        <v>28800</v>
      </c>
      <c r="O436" s="19">
        <v>1732608000</v>
      </c>
      <c r="P436" s="19">
        <v>1610784000</v>
      </c>
      <c r="Q436" s="4">
        <v>5640</v>
      </c>
      <c r="R436" s="11">
        <v>4794</v>
      </c>
      <c r="S436" s="12">
        <v>-846</v>
      </c>
      <c r="T436" s="3">
        <f t="shared" si="13"/>
        <v>-121824000</v>
      </c>
    </row>
    <row r="437" spans="1:20" x14ac:dyDescent="0.3">
      <c r="A437" s="45">
        <v>45108</v>
      </c>
      <c r="B437">
        <v>2023</v>
      </c>
      <c r="C437" s="18" t="str">
        <f t="shared" si="12"/>
        <v>Jul</v>
      </c>
      <c r="D437" t="s">
        <v>11</v>
      </c>
      <c r="E437" t="s">
        <v>25</v>
      </c>
      <c r="F437">
        <v>373</v>
      </c>
      <c r="G437" t="s">
        <v>35</v>
      </c>
      <c r="H437" t="s">
        <v>60</v>
      </c>
      <c r="I437" s="3">
        <v>240000</v>
      </c>
      <c r="J437" s="2">
        <v>0.28000000000000003</v>
      </c>
      <c r="K437" s="20">
        <v>0.4</v>
      </c>
      <c r="L437" s="19">
        <v>307200</v>
      </c>
      <c r="M437" s="3">
        <v>336000</v>
      </c>
      <c r="N437" s="19">
        <v>28800</v>
      </c>
      <c r="O437" s="19">
        <v>1426636800</v>
      </c>
      <c r="P437" s="19">
        <v>1326326400</v>
      </c>
      <c r="Q437">
        <v>4644</v>
      </c>
      <c r="R437" s="11">
        <v>3947.4</v>
      </c>
      <c r="S437" s="12">
        <v>-696.59999999999991</v>
      </c>
      <c r="T437" s="3">
        <f t="shared" si="13"/>
        <v>-100310400</v>
      </c>
    </row>
    <row r="438" spans="1:20" x14ac:dyDescent="0.3">
      <c r="A438" s="46">
        <v>45139</v>
      </c>
      <c r="B438" s="4">
        <v>2023</v>
      </c>
      <c r="C438" s="18" t="str">
        <f t="shared" si="12"/>
        <v>Aug</v>
      </c>
      <c r="D438" s="4" t="s">
        <v>11</v>
      </c>
      <c r="E438" s="4" t="s">
        <v>25</v>
      </c>
      <c r="F438" s="4">
        <v>373</v>
      </c>
      <c r="G438" s="4" t="s">
        <v>35</v>
      </c>
      <c r="H438" t="s">
        <v>60</v>
      </c>
      <c r="I438" s="6">
        <v>240000</v>
      </c>
      <c r="J438" s="7">
        <v>0.28000000000000003</v>
      </c>
      <c r="K438" s="20">
        <v>0.4</v>
      </c>
      <c r="L438" s="19">
        <v>307200</v>
      </c>
      <c r="M438" s="6">
        <v>336000</v>
      </c>
      <c r="N438" s="19">
        <v>28800</v>
      </c>
      <c r="O438" s="19">
        <v>2001408000</v>
      </c>
      <c r="P438" s="19">
        <v>1860684000</v>
      </c>
      <c r="Q438" s="4">
        <v>6515</v>
      </c>
      <c r="R438" s="11">
        <v>5537.75</v>
      </c>
      <c r="S438" s="12">
        <v>-977.25</v>
      </c>
      <c r="T438" s="3">
        <f t="shared" si="13"/>
        <v>-140724000</v>
      </c>
    </row>
    <row r="439" spans="1:20" x14ac:dyDescent="0.3">
      <c r="A439" s="45">
        <v>45170</v>
      </c>
      <c r="B439">
        <v>2023</v>
      </c>
      <c r="C439" s="18" t="str">
        <f t="shared" si="12"/>
        <v>Sep</v>
      </c>
      <c r="D439" t="s">
        <v>11</v>
      </c>
      <c r="E439" t="s">
        <v>25</v>
      </c>
      <c r="F439">
        <v>373</v>
      </c>
      <c r="G439" t="s">
        <v>35</v>
      </c>
      <c r="H439" t="s">
        <v>60</v>
      </c>
      <c r="I439" s="3">
        <v>240000</v>
      </c>
      <c r="J439" s="2">
        <v>0.28000000000000003</v>
      </c>
      <c r="K439" s="20">
        <v>0.4</v>
      </c>
      <c r="L439" s="19">
        <v>307200</v>
      </c>
      <c r="M439" s="3">
        <v>336000</v>
      </c>
      <c r="N439" s="19">
        <v>28800</v>
      </c>
      <c r="O439" s="19">
        <v>1373184000</v>
      </c>
      <c r="P439" s="19">
        <v>1276632000</v>
      </c>
      <c r="Q439">
        <v>4470</v>
      </c>
      <c r="R439" s="11">
        <v>3799.5</v>
      </c>
      <c r="S439" s="12">
        <v>-670.5</v>
      </c>
      <c r="T439" s="3">
        <f t="shared" si="13"/>
        <v>-96552000</v>
      </c>
    </row>
    <row r="440" spans="1:20" x14ac:dyDescent="0.3">
      <c r="A440" s="46">
        <v>45200</v>
      </c>
      <c r="B440" s="4">
        <v>2023</v>
      </c>
      <c r="C440" s="18" t="str">
        <f t="shared" si="12"/>
        <v>Oct</v>
      </c>
      <c r="D440" s="4" t="s">
        <v>11</v>
      </c>
      <c r="E440" s="4" t="s">
        <v>25</v>
      </c>
      <c r="F440" s="4">
        <v>373</v>
      </c>
      <c r="G440" s="4" t="s">
        <v>35</v>
      </c>
      <c r="H440" t="s">
        <v>60</v>
      </c>
      <c r="I440" s="6">
        <v>240000</v>
      </c>
      <c r="J440" s="7">
        <v>0.28000000000000003</v>
      </c>
      <c r="K440" s="20">
        <v>0.4</v>
      </c>
      <c r="L440" s="19">
        <v>307200</v>
      </c>
      <c r="M440" s="6">
        <v>336000</v>
      </c>
      <c r="N440" s="19">
        <v>28800</v>
      </c>
      <c r="O440" s="19">
        <v>1708339200</v>
      </c>
      <c r="P440" s="19">
        <v>1588221599.9999998</v>
      </c>
      <c r="Q440" s="4">
        <v>5561</v>
      </c>
      <c r="R440" s="11">
        <v>4726.8499999999995</v>
      </c>
      <c r="S440" s="12">
        <v>-834.15000000000055</v>
      </c>
      <c r="T440" s="3">
        <f t="shared" si="13"/>
        <v>-120117600.00000024</v>
      </c>
    </row>
    <row r="441" spans="1:20" x14ac:dyDescent="0.3">
      <c r="A441" s="45">
        <v>45231</v>
      </c>
      <c r="B441">
        <v>2023</v>
      </c>
      <c r="C441" s="18" t="str">
        <f t="shared" si="12"/>
        <v>Nov</v>
      </c>
      <c r="D441" t="s">
        <v>11</v>
      </c>
      <c r="E441" t="s">
        <v>25</v>
      </c>
      <c r="F441">
        <v>373</v>
      </c>
      <c r="G441" t="s">
        <v>35</v>
      </c>
      <c r="H441" t="s">
        <v>60</v>
      </c>
      <c r="I441" s="3">
        <v>240000</v>
      </c>
      <c r="J441" s="2">
        <v>0.28000000000000003</v>
      </c>
      <c r="K441" s="20">
        <v>0.4</v>
      </c>
      <c r="L441" s="19">
        <v>307200</v>
      </c>
      <c r="M441" s="3">
        <v>336000</v>
      </c>
      <c r="N441" s="19">
        <v>28800</v>
      </c>
      <c r="O441" s="19">
        <v>1781452800</v>
      </c>
      <c r="P441" s="19">
        <v>1656194399.9999998</v>
      </c>
      <c r="Q441">
        <v>5799</v>
      </c>
      <c r="R441" s="11">
        <v>4929.1499999999996</v>
      </c>
      <c r="S441" s="12">
        <v>-869.85000000000036</v>
      </c>
      <c r="T441" s="3">
        <f t="shared" si="13"/>
        <v>-125258400.00000024</v>
      </c>
    </row>
    <row r="442" spans="1:20" x14ac:dyDescent="0.3">
      <c r="A442" s="46">
        <v>45261</v>
      </c>
      <c r="B442" s="4">
        <v>2023</v>
      </c>
      <c r="C442" s="18" t="str">
        <f t="shared" si="12"/>
        <v>Dec</v>
      </c>
      <c r="D442" s="4" t="s">
        <v>11</v>
      </c>
      <c r="E442" s="4" t="s">
        <v>25</v>
      </c>
      <c r="F442" s="4">
        <v>373</v>
      </c>
      <c r="G442" s="4" t="s">
        <v>35</v>
      </c>
      <c r="H442" t="s">
        <v>60</v>
      </c>
      <c r="I442" s="6">
        <v>240000</v>
      </c>
      <c r="J442" s="7">
        <v>0.28000000000000003</v>
      </c>
      <c r="K442" s="20">
        <v>0.4</v>
      </c>
      <c r="L442" s="19">
        <v>307200</v>
      </c>
      <c r="M442" s="6">
        <v>336000</v>
      </c>
      <c r="N442" s="19">
        <v>28800</v>
      </c>
      <c r="O442" s="19">
        <v>1462886400</v>
      </c>
      <c r="P442" s="19">
        <v>1360027200</v>
      </c>
      <c r="Q442" s="4">
        <v>4762</v>
      </c>
      <c r="R442" s="11">
        <v>4047.7</v>
      </c>
      <c r="S442" s="12">
        <v>-714.30000000000018</v>
      </c>
      <c r="T442" s="3">
        <f t="shared" si="13"/>
        <v>-102859200</v>
      </c>
    </row>
    <row r="443" spans="1:20" x14ac:dyDescent="0.3">
      <c r="A443" s="45">
        <v>45292</v>
      </c>
      <c r="B443">
        <v>2024</v>
      </c>
      <c r="C443" s="18" t="str">
        <f t="shared" si="12"/>
        <v>Jan</v>
      </c>
      <c r="D443" t="s">
        <v>11</v>
      </c>
      <c r="E443" t="s">
        <v>25</v>
      </c>
      <c r="F443">
        <v>373</v>
      </c>
      <c r="G443" t="s">
        <v>35</v>
      </c>
      <c r="H443" t="s">
        <v>60</v>
      </c>
      <c r="I443" s="3">
        <v>240000</v>
      </c>
      <c r="J443" s="2">
        <v>0.28000000000000003</v>
      </c>
      <c r="K443" s="20">
        <v>0.4</v>
      </c>
      <c r="L443" s="19">
        <v>307200</v>
      </c>
      <c r="M443" s="3">
        <v>336000</v>
      </c>
      <c r="N443" s="19">
        <v>28800</v>
      </c>
      <c r="O443" s="19">
        <v>2009088000</v>
      </c>
      <c r="P443" s="19">
        <v>1867824000</v>
      </c>
      <c r="Q443">
        <v>6540</v>
      </c>
      <c r="R443" s="11">
        <v>5559</v>
      </c>
      <c r="S443" s="12">
        <v>-981</v>
      </c>
      <c r="T443" s="3">
        <f t="shared" si="13"/>
        <v>-141264000</v>
      </c>
    </row>
    <row r="444" spans="1:20" x14ac:dyDescent="0.3">
      <c r="A444" s="46">
        <v>45323</v>
      </c>
      <c r="B444" s="4">
        <v>2024</v>
      </c>
      <c r="C444" s="18" t="str">
        <f t="shared" si="12"/>
        <v>Feb</v>
      </c>
      <c r="D444" s="4" t="s">
        <v>11</v>
      </c>
      <c r="E444" s="4" t="s">
        <v>25</v>
      </c>
      <c r="F444" s="4">
        <v>373</v>
      </c>
      <c r="G444" s="4" t="s">
        <v>35</v>
      </c>
      <c r="H444" t="s">
        <v>60</v>
      </c>
      <c r="I444" s="6">
        <v>240000</v>
      </c>
      <c r="J444" s="7">
        <v>0.28000000000000003</v>
      </c>
      <c r="K444" s="20">
        <v>0.4</v>
      </c>
      <c r="L444" s="19">
        <v>307200</v>
      </c>
      <c r="M444" s="6">
        <v>336000</v>
      </c>
      <c r="N444" s="19">
        <v>28800</v>
      </c>
      <c r="O444" s="19">
        <v>2256691200</v>
      </c>
      <c r="P444" s="19">
        <v>2098017599.9999998</v>
      </c>
      <c r="Q444" s="4">
        <v>7346</v>
      </c>
      <c r="R444" s="11">
        <v>6244.0999999999995</v>
      </c>
      <c r="S444" s="12">
        <v>-1101.9000000000005</v>
      </c>
      <c r="T444" s="3">
        <f t="shared" si="13"/>
        <v>-158673600.00000024</v>
      </c>
    </row>
    <row r="445" spans="1:20" x14ac:dyDescent="0.3">
      <c r="A445" s="45">
        <v>45352</v>
      </c>
      <c r="B445">
        <v>2024</v>
      </c>
      <c r="C445" s="18" t="str">
        <f t="shared" si="12"/>
        <v>Mar</v>
      </c>
      <c r="D445" t="s">
        <v>11</v>
      </c>
      <c r="E445" t="s">
        <v>25</v>
      </c>
      <c r="F445">
        <v>373</v>
      </c>
      <c r="G445" t="s">
        <v>35</v>
      </c>
      <c r="H445" t="s">
        <v>60</v>
      </c>
      <c r="I445" s="3">
        <v>240000</v>
      </c>
      <c r="J445" s="2">
        <v>0.28000000000000003</v>
      </c>
      <c r="K445" s="20">
        <v>0.4</v>
      </c>
      <c r="L445" s="19">
        <v>307200</v>
      </c>
      <c r="M445" s="3">
        <v>336000</v>
      </c>
      <c r="N445" s="19">
        <v>28800</v>
      </c>
      <c r="O445" s="19">
        <v>2283724800</v>
      </c>
      <c r="P445" s="19">
        <v>2123150399.9999998</v>
      </c>
      <c r="Q445">
        <v>7434</v>
      </c>
      <c r="R445" s="11">
        <v>6318.9</v>
      </c>
      <c r="S445" s="12">
        <v>-1115.1000000000004</v>
      </c>
      <c r="T445" s="3">
        <f t="shared" si="13"/>
        <v>-160574400.00000024</v>
      </c>
    </row>
    <row r="446" spans="1:20" x14ac:dyDescent="0.3">
      <c r="A446" s="46">
        <v>45383</v>
      </c>
      <c r="B446" s="4">
        <v>2024</v>
      </c>
      <c r="C446" s="18" t="str">
        <f t="shared" si="12"/>
        <v>Apr</v>
      </c>
      <c r="D446" s="4" t="s">
        <v>11</v>
      </c>
      <c r="E446" s="4" t="s">
        <v>25</v>
      </c>
      <c r="F446" s="4">
        <v>373</v>
      </c>
      <c r="G446" s="4" t="s">
        <v>35</v>
      </c>
      <c r="H446" t="s">
        <v>60</v>
      </c>
      <c r="I446" s="6">
        <v>240000</v>
      </c>
      <c r="J446" s="7">
        <v>0.28000000000000003</v>
      </c>
      <c r="K446" s="20">
        <v>0.4</v>
      </c>
      <c r="L446" s="19">
        <v>307200</v>
      </c>
      <c r="M446" s="6">
        <v>336000</v>
      </c>
      <c r="N446" s="19">
        <v>28800</v>
      </c>
      <c r="O446" s="19">
        <v>1981440000</v>
      </c>
      <c r="P446" s="19">
        <v>1842120000</v>
      </c>
      <c r="Q446" s="4">
        <v>6450</v>
      </c>
      <c r="R446" s="11">
        <v>5482.5</v>
      </c>
      <c r="S446" s="12">
        <v>-967.5</v>
      </c>
      <c r="T446" s="3">
        <f t="shared" si="13"/>
        <v>-139320000</v>
      </c>
    </row>
    <row r="447" spans="1:20" x14ac:dyDescent="0.3">
      <c r="A447" s="45">
        <v>45413</v>
      </c>
      <c r="B447">
        <v>2024</v>
      </c>
      <c r="C447" s="18" t="str">
        <f t="shared" si="12"/>
        <v>May</v>
      </c>
      <c r="D447" t="s">
        <v>11</v>
      </c>
      <c r="E447" t="s">
        <v>25</v>
      </c>
      <c r="F447">
        <v>373</v>
      </c>
      <c r="G447" t="s">
        <v>35</v>
      </c>
      <c r="H447" t="s">
        <v>60</v>
      </c>
      <c r="I447" s="3">
        <v>240000</v>
      </c>
      <c r="J447" s="2">
        <v>0.28000000000000003</v>
      </c>
      <c r="K447" s="20">
        <v>0.4</v>
      </c>
      <c r="L447" s="19">
        <v>307200</v>
      </c>
      <c r="M447" s="3">
        <v>336000</v>
      </c>
      <c r="N447" s="19">
        <v>28800</v>
      </c>
      <c r="O447" s="19">
        <v>2414899200</v>
      </c>
      <c r="P447" s="19">
        <v>2245101600</v>
      </c>
      <c r="Q447">
        <v>7861</v>
      </c>
      <c r="R447" s="11">
        <v>6681.8499999999995</v>
      </c>
      <c r="S447" s="12">
        <v>-1179.1500000000005</v>
      </c>
      <c r="T447" s="3">
        <f t="shared" si="13"/>
        <v>-169797600</v>
      </c>
    </row>
    <row r="448" spans="1:20" x14ac:dyDescent="0.3">
      <c r="A448" s="46">
        <v>45444</v>
      </c>
      <c r="B448" s="4">
        <v>2024</v>
      </c>
      <c r="C448" s="18" t="str">
        <f t="shared" si="12"/>
        <v>Jun</v>
      </c>
      <c r="D448" s="4" t="s">
        <v>11</v>
      </c>
      <c r="E448" s="4" t="s">
        <v>25</v>
      </c>
      <c r="F448" s="4">
        <v>373</v>
      </c>
      <c r="G448" s="4" t="s">
        <v>35</v>
      </c>
      <c r="H448" t="s">
        <v>60</v>
      </c>
      <c r="I448" s="6">
        <v>240000</v>
      </c>
      <c r="J448" s="7">
        <v>0.28000000000000003</v>
      </c>
      <c r="K448" s="20">
        <v>0.4</v>
      </c>
      <c r="L448" s="19">
        <v>307200</v>
      </c>
      <c r="M448" s="6">
        <v>336000</v>
      </c>
      <c r="N448" s="19">
        <v>28800</v>
      </c>
      <c r="O448" s="19">
        <v>1740902400</v>
      </c>
      <c r="P448" s="19">
        <v>1618495200</v>
      </c>
      <c r="Q448" s="4">
        <v>5667</v>
      </c>
      <c r="R448" s="11">
        <v>4816.95</v>
      </c>
      <c r="S448" s="12">
        <v>-850.05000000000018</v>
      </c>
      <c r="T448" s="3">
        <f t="shared" si="13"/>
        <v>-122407200</v>
      </c>
    </row>
    <row r="449" spans="1:20" x14ac:dyDescent="0.3">
      <c r="A449" s="45">
        <v>45474</v>
      </c>
      <c r="B449">
        <v>2024</v>
      </c>
      <c r="C449" s="18" t="str">
        <f t="shared" si="12"/>
        <v>Jul</v>
      </c>
      <c r="D449" t="s">
        <v>11</v>
      </c>
      <c r="E449" t="s">
        <v>25</v>
      </c>
      <c r="F449">
        <v>373</v>
      </c>
      <c r="G449" t="s">
        <v>35</v>
      </c>
      <c r="H449" t="s">
        <v>60</v>
      </c>
      <c r="I449" s="3">
        <v>240000</v>
      </c>
      <c r="J449" s="2">
        <v>0.28000000000000003</v>
      </c>
      <c r="K449" s="20">
        <v>0.4</v>
      </c>
      <c r="L449" s="19">
        <v>307200</v>
      </c>
      <c r="M449" s="3">
        <v>336000</v>
      </c>
      <c r="N449" s="19">
        <v>28800</v>
      </c>
      <c r="O449" s="19">
        <v>1732300800</v>
      </c>
      <c r="P449" s="19">
        <v>1610498399.9999998</v>
      </c>
      <c r="Q449">
        <v>5639</v>
      </c>
      <c r="R449" s="11">
        <v>4793.1499999999996</v>
      </c>
      <c r="S449" s="12">
        <v>-845.85000000000036</v>
      </c>
      <c r="T449" s="3">
        <f t="shared" si="13"/>
        <v>-121802400.00000024</v>
      </c>
    </row>
    <row r="450" spans="1:20" x14ac:dyDescent="0.3">
      <c r="A450" s="46">
        <v>45505</v>
      </c>
      <c r="B450" s="4">
        <v>2024</v>
      </c>
      <c r="C450" s="18" t="str">
        <f t="shared" si="12"/>
        <v>Aug</v>
      </c>
      <c r="D450" s="4" t="s">
        <v>11</v>
      </c>
      <c r="E450" s="4" t="s">
        <v>25</v>
      </c>
      <c r="F450" s="4">
        <v>373</v>
      </c>
      <c r="G450" s="4" t="s">
        <v>35</v>
      </c>
      <c r="H450" t="s">
        <v>60</v>
      </c>
      <c r="I450" s="6">
        <v>240000</v>
      </c>
      <c r="J450" s="7">
        <v>0.28000000000000003</v>
      </c>
      <c r="K450" s="20">
        <v>0.4</v>
      </c>
      <c r="L450" s="19">
        <v>307200</v>
      </c>
      <c r="M450" s="6">
        <v>336000</v>
      </c>
      <c r="N450" s="19">
        <v>28800</v>
      </c>
      <c r="O450" s="19">
        <v>1612185600</v>
      </c>
      <c r="P450" s="19">
        <v>1498828800</v>
      </c>
      <c r="Q450" s="4">
        <v>5248</v>
      </c>
      <c r="R450" s="11">
        <v>4460.8</v>
      </c>
      <c r="S450" s="12">
        <v>-787.19999999999982</v>
      </c>
      <c r="T450" s="3">
        <f t="shared" si="13"/>
        <v>-113356800</v>
      </c>
    </row>
    <row r="451" spans="1:20" x14ac:dyDescent="0.3">
      <c r="A451" s="45">
        <v>45536</v>
      </c>
      <c r="B451">
        <v>2024</v>
      </c>
      <c r="C451" s="18" t="str">
        <f t="shared" ref="C451:C496" si="14">TEXT(A451,"mmm")</f>
        <v>Sep</v>
      </c>
      <c r="D451" t="s">
        <v>11</v>
      </c>
      <c r="E451" t="s">
        <v>25</v>
      </c>
      <c r="F451">
        <v>373</v>
      </c>
      <c r="G451" t="s">
        <v>35</v>
      </c>
      <c r="H451" t="s">
        <v>60</v>
      </c>
      <c r="I451" s="3">
        <v>240000</v>
      </c>
      <c r="J451" s="2">
        <v>0.28000000000000003</v>
      </c>
      <c r="K451" s="20">
        <v>0.4</v>
      </c>
      <c r="L451" s="19">
        <v>307200</v>
      </c>
      <c r="M451" s="3">
        <v>336000</v>
      </c>
      <c r="N451" s="19">
        <v>28800</v>
      </c>
      <c r="O451" s="19">
        <v>1512038400</v>
      </c>
      <c r="P451" s="19">
        <v>1405723200</v>
      </c>
      <c r="Q451">
        <v>4922</v>
      </c>
      <c r="R451" s="11">
        <v>4183.7</v>
      </c>
      <c r="S451" s="12">
        <v>-738.30000000000018</v>
      </c>
      <c r="T451" s="3">
        <f t="shared" ref="T451:T496" si="15">P451-O451</f>
        <v>-106315200</v>
      </c>
    </row>
    <row r="452" spans="1:20" x14ac:dyDescent="0.3">
      <c r="A452" s="46">
        <v>45566</v>
      </c>
      <c r="B452" s="4">
        <v>2024</v>
      </c>
      <c r="C452" s="18" t="str">
        <f t="shared" si="14"/>
        <v>Oct</v>
      </c>
      <c r="D452" s="4" t="s">
        <v>11</v>
      </c>
      <c r="E452" s="4" t="s">
        <v>25</v>
      </c>
      <c r="F452" s="4">
        <v>373</v>
      </c>
      <c r="G452" s="4" t="s">
        <v>35</v>
      </c>
      <c r="H452" t="s">
        <v>60</v>
      </c>
      <c r="I452" s="6">
        <v>240000</v>
      </c>
      <c r="J452" s="7">
        <v>0.28000000000000003</v>
      </c>
      <c r="K452" s="20">
        <v>0.4</v>
      </c>
      <c r="L452" s="19">
        <v>307200</v>
      </c>
      <c r="M452" s="6">
        <v>336000</v>
      </c>
      <c r="N452" s="19">
        <v>28800</v>
      </c>
      <c r="O452" s="19">
        <v>1606348800</v>
      </c>
      <c r="P452" s="19">
        <v>1493402399.9999998</v>
      </c>
      <c r="Q452" s="4">
        <v>5229</v>
      </c>
      <c r="R452" s="11">
        <v>4444.6499999999996</v>
      </c>
      <c r="S452" s="12">
        <v>-784.35000000000036</v>
      </c>
      <c r="T452" s="3">
        <f t="shared" si="15"/>
        <v>-112946400.00000024</v>
      </c>
    </row>
    <row r="453" spans="1:20" x14ac:dyDescent="0.3">
      <c r="A453" s="45">
        <v>45597</v>
      </c>
      <c r="B453">
        <v>2024</v>
      </c>
      <c r="C453" s="18" t="str">
        <f t="shared" si="14"/>
        <v>Nov</v>
      </c>
      <c r="D453" t="s">
        <v>11</v>
      </c>
      <c r="E453" t="s">
        <v>25</v>
      </c>
      <c r="F453">
        <v>373</v>
      </c>
      <c r="G453" t="s">
        <v>35</v>
      </c>
      <c r="H453" t="s">
        <v>60</v>
      </c>
      <c r="I453" s="3">
        <v>240000</v>
      </c>
      <c r="J453" s="2">
        <v>0.28000000000000003</v>
      </c>
      <c r="K453" s="20">
        <v>0.4</v>
      </c>
      <c r="L453" s="19">
        <v>307200</v>
      </c>
      <c r="M453" s="3">
        <v>336000</v>
      </c>
      <c r="N453" s="19">
        <v>28800</v>
      </c>
      <c r="O453" s="19">
        <v>1900953600</v>
      </c>
      <c r="P453" s="19">
        <v>1767292800</v>
      </c>
      <c r="Q453">
        <v>6188</v>
      </c>
      <c r="R453" s="11">
        <v>5259.8</v>
      </c>
      <c r="S453" s="12">
        <v>-928.19999999999982</v>
      </c>
      <c r="T453" s="3">
        <f t="shared" si="15"/>
        <v>-133660800</v>
      </c>
    </row>
    <row r="454" spans="1:20" x14ac:dyDescent="0.3">
      <c r="A454" s="46">
        <v>45627</v>
      </c>
      <c r="B454" s="4">
        <v>2024</v>
      </c>
      <c r="C454" s="18" t="str">
        <f t="shared" si="14"/>
        <v>Dec</v>
      </c>
      <c r="D454" s="4" t="s">
        <v>11</v>
      </c>
      <c r="E454" s="4" t="s">
        <v>25</v>
      </c>
      <c r="F454" s="4">
        <v>373</v>
      </c>
      <c r="G454" s="4" t="s">
        <v>35</v>
      </c>
      <c r="H454" t="s">
        <v>60</v>
      </c>
      <c r="I454" s="6">
        <v>240000</v>
      </c>
      <c r="J454" s="7">
        <v>0.28000000000000003</v>
      </c>
      <c r="K454" s="20">
        <v>0.4</v>
      </c>
      <c r="L454" s="19">
        <v>307200</v>
      </c>
      <c r="M454" s="6">
        <v>336000</v>
      </c>
      <c r="N454" s="19">
        <v>28800</v>
      </c>
      <c r="O454" s="19">
        <v>2035507200</v>
      </c>
      <c r="P454" s="19">
        <v>1892385599.9999998</v>
      </c>
      <c r="Q454" s="4">
        <v>6626</v>
      </c>
      <c r="R454" s="11">
        <v>5632.0999999999995</v>
      </c>
      <c r="S454" s="12">
        <v>-993.90000000000055</v>
      </c>
      <c r="T454" s="3">
        <f t="shared" si="15"/>
        <v>-143121600.00000024</v>
      </c>
    </row>
    <row r="455" spans="1:20" x14ac:dyDescent="0.3">
      <c r="A455" s="45">
        <v>45658</v>
      </c>
      <c r="B455">
        <v>2025</v>
      </c>
      <c r="C455" s="18" t="str">
        <f t="shared" si="14"/>
        <v>Jan</v>
      </c>
      <c r="D455" t="s">
        <v>11</v>
      </c>
      <c r="E455" t="s">
        <v>25</v>
      </c>
      <c r="F455">
        <v>373</v>
      </c>
      <c r="G455" t="s">
        <v>35</v>
      </c>
      <c r="H455" t="s">
        <v>60</v>
      </c>
      <c r="I455" s="3">
        <v>240000</v>
      </c>
      <c r="J455" s="2">
        <v>0.28000000000000003</v>
      </c>
      <c r="K455" s="20">
        <v>0.4</v>
      </c>
      <c r="L455" s="19">
        <v>307200</v>
      </c>
      <c r="M455" s="3">
        <v>336000</v>
      </c>
      <c r="N455" s="19">
        <v>28800</v>
      </c>
      <c r="O455" s="19">
        <v>1844736000</v>
      </c>
      <c r="P455" s="19">
        <v>1715028000</v>
      </c>
      <c r="Q455">
        <v>6005</v>
      </c>
      <c r="R455" s="11">
        <v>5104.25</v>
      </c>
      <c r="S455" s="12">
        <v>-900.75</v>
      </c>
      <c r="T455" s="3">
        <f t="shared" si="15"/>
        <v>-129708000</v>
      </c>
    </row>
    <row r="456" spans="1:20" x14ac:dyDescent="0.3">
      <c r="A456" s="46">
        <v>45689</v>
      </c>
      <c r="B456" s="4">
        <v>2025</v>
      </c>
      <c r="C456" s="18" t="str">
        <f t="shared" si="14"/>
        <v>Feb</v>
      </c>
      <c r="D456" s="4" t="s">
        <v>11</v>
      </c>
      <c r="E456" s="4" t="s">
        <v>25</v>
      </c>
      <c r="F456" s="4">
        <v>373</v>
      </c>
      <c r="G456" s="4" t="s">
        <v>35</v>
      </c>
      <c r="H456" t="s">
        <v>60</v>
      </c>
      <c r="I456" s="6">
        <v>240000</v>
      </c>
      <c r="J456" s="7">
        <v>0.28000000000000003</v>
      </c>
      <c r="K456" s="20">
        <v>0.4</v>
      </c>
      <c r="L456" s="19">
        <v>307200</v>
      </c>
      <c r="M456" s="6">
        <v>336000</v>
      </c>
      <c r="N456" s="19">
        <v>28800</v>
      </c>
      <c r="O456" s="19">
        <v>2172825600</v>
      </c>
      <c r="P456" s="19">
        <v>2020048800</v>
      </c>
      <c r="Q456" s="4">
        <v>7073</v>
      </c>
      <c r="R456" s="11">
        <v>6012.05</v>
      </c>
      <c r="S456" s="12">
        <v>-1060.9499999999998</v>
      </c>
      <c r="T456" s="3">
        <f t="shared" si="15"/>
        <v>-152776800</v>
      </c>
    </row>
    <row r="457" spans="1:20" x14ac:dyDescent="0.3">
      <c r="A457" s="45">
        <v>45717</v>
      </c>
      <c r="B457">
        <v>2025</v>
      </c>
      <c r="C457" s="18" t="str">
        <f t="shared" si="14"/>
        <v>Mar</v>
      </c>
      <c r="D457" t="s">
        <v>11</v>
      </c>
      <c r="E457" t="s">
        <v>25</v>
      </c>
      <c r="F457">
        <v>373</v>
      </c>
      <c r="G457" t="s">
        <v>35</v>
      </c>
      <c r="H457" t="s">
        <v>60</v>
      </c>
      <c r="I457" s="3">
        <v>240000</v>
      </c>
      <c r="J457" s="2">
        <v>0.28000000000000003</v>
      </c>
      <c r="K457" s="20">
        <v>0.4</v>
      </c>
      <c r="L457" s="19">
        <v>307200</v>
      </c>
      <c r="M457" s="3">
        <v>336000</v>
      </c>
      <c r="N457" s="19">
        <v>28800</v>
      </c>
      <c r="O457" s="19">
        <v>1866240000</v>
      </c>
      <c r="P457" s="19">
        <v>1735020000</v>
      </c>
      <c r="Q457">
        <v>6075</v>
      </c>
      <c r="R457" s="11">
        <v>5163.75</v>
      </c>
      <c r="S457" s="12">
        <v>-911.25</v>
      </c>
      <c r="T457" s="3">
        <f t="shared" si="15"/>
        <v>-131220000</v>
      </c>
    </row>
    <row r="458" spans="1:20" x14ac:dyDescent="0.3">
      <c r="A458" s="46">
        <v>45748</v>
      </c>
      <c r="B458" s="4">
        <v>2025</v>
      </c>
      <c r="C458" s="18" t="str">
        <f t="shared" si="14"/>
        <v>Apr</v>
      </c>
      <c r="D458" s="4" t="s">
        <v>11</v>
      </c>
      <c r="E458" s="4" t="s">
        <v>25</v>
      </c>
      <c r="F458" s="4">
        <v>373</v>
      </c>
      <c r="G458" s="4" t="s">
        <v>35</v>
      </c>
      <c r="H458" t="s">
        <v>60</v>
      </c>
      <c r="I458" s="6">
        <v>240000</v>
      </c>
      <c r="J458" s="7">
        <v>0.28000000000000003</v>
      </c>
      <c r="K458" s="20">
        <v>0.4</v>
      </c>
      <c r="L458" s="19">
        <v>307200</v>
      </c>
      <c r="M458" s="6">
        <v>336000</v>
      </c>
      <c r="N458" s="19">
        <v>28800</v>
      </c>
      <c r="O458" s="19">
        <v>2170675200</v>
      </c>
      <c r="P458" s="19">
        <v>2018049599.9999998</v>
      </c>
      <c r="Q458" s="4">
        <v>7066</v>
      </c>
      <c r="R458" s="11">
        <v>6006.0999999999995</v>
      </c>
      <c r="S458" s="12">
        <v>-1059.9000000000005</v>
      </c>
      <c r="T458" s="3">
        <f t="shared" si="15"/>
        <v>-152625600.00000024</v>
      </c>
    </row>
    <row r="459" spans="1:20" x14ac:dyDescent="0.3">
      <c r="A459" s="45">
        <v>45778</v>
      </c>
      <c r="B459">
        <v>2025</v>
      </c>
      <c r="C459" s="18" t="str">
        <f t="shared" si="14"/>
        <v>May</v>
      </c>
      <c r="D459" t="s">
        <v>11</v>
      </c>
      <c r="E459" t="s">
        <v>25</v>
      </c>
      <c r="F459">
        <v>373</v>
      </c>
      <c r="G459" t="s">
        <v>35</v>
      </c>
      <c r="H459" t="s">
        <v>60</v>
      </c>
      <c r="I459" s="3">
        <v>240000</v>
      </c>
      <c r="J459" s="2">
        <v>0.28000000000000003</v>
      </c>
      <c r="K459" s="20">
        <v>0.4</v>
      </c>
      <c r="L459" s="19">
        <v>307200</v>
      </c>
      <c r="M459" s="3">
        <v>336000</v>
      </c>
      <c r="N459" s="19">
        <v>28800</v>
      </c>
      <c r="O459" s="19">
        <v>2111385600</v>
      </c>
      <c r="P459" s="19">
        <v>1962928800</v>
      </c>
      <c r="Q459">
        <v>6873</v>
      </c>
      <c r="R459" s="11">
        <v>5842.05</v>
      </c>
      <c r="S459" s="12">
        <v>-1030.9499999999998</v>
      </c>
      <c r="T459" s="3">
        <f t="shared" si="15"/>
        <v>-148456800</v>
      </c>
    </row>
    <row r="460" spans="1:20" x14ac:dyDescent="0.3">
      <c r="A460" s="46">
        <v>45809</v>
      </c>
      <c r="B460" s="4">
        <v>2025</v>
      </c>
      <c r="C460" s="18" t="str">
        <f t="shared" si="14"/>
        <v>Jun</v>
      </c>
      <c r="D460" s="4" t="s">
        <v>11</v>
      </c>
      <c r="E460" s="4" t="s">
        <v>25</v>
      </c>
      <c r="F460" s="4">
        <v>373</v>
      </c>
      <c r="G460" s="4" t="s">
        <v>35</v>
      </c>
      <c r="H460" t="s">
        <v>60</v>
      </c>
      <c r="I460" s="6">
        <v>240000</v>
      </c>
      <c r="J460" s="7">
        <v>0.28000000000000003</v>
      </c>
      <c r="K460" s="20">
        <v>0.4</v>
      </c>
      <c r="L460" s="19">
        <v>307200</v>
      </c>
      <c r="M460" s="6">
        <v>336000</v>
      </c>
      <c r="N460" s="19">
        <v>28800</v>
      </c>
      <c r="O460" s="19">
        <v>1810636800</v>
      </c>
      <c r="P460" s="19">
        <v>1683326399.9999998</v>
      </c>
      <c r="Q460" s="4">
        <v>5894</v>
      </c>
      <c r="R460" s="11">
        <v>5009.8999999999996</v>
      </c>
      <c r="S460" s="12">
        <v>-884.10000000000036</v>
      </c>
      <c r="T460" s="3">
        <f t="shared" si="15"/>
        <v>-127310400.00000024</v>
      </c>
    </row>
    <row r="461" spans="1:20" x14ac:dyDescent="0.3">
      <c r="A461" s="45">
        <v>45839</v>
      </c>
      <c r="B461">
        <v>2025</v>
      </c>
      <c r="C461" s="18" t="str">
        <f t="shared" si="14"/>
        <v>Jul</v>
      </c>
      <c r="D461" t="s">
        <v>11</v>
      </c>
      <c r="E461" t="s">
        <v>25</v>
      </c>
      <c r="F461">
        <v>373</v>
      </c>
      <c r="G461" t="s">
        <v>35</v>
      </c>
      <c r="H461" t="s">
        <v>60</v>
      </c>
      <c r="I461" s="3">
        <v>240000</v>
      </c>
      <c r="J461" s="2">
        <v>0.28000000000000003</v>
      </c>
      <c r="K461" s="20">
        <v>0.4</v>
      </c>
      <c r="L461" s="19">
        <v>307200</v>
      </c>
      <c r="M461" s="3">
        <v>336000</v>
      </c>
      <c r="N461" s="19">
        <v>28800</v>
      </c>
      <c r="O461" s="19">
        <v>1647513600</v>
      </c>
      <c r="P461" s="19">
        <v>1531672800</v>
      </c>
      <c r="Q461">
        <v>5363</v>
      </c>
      <c r="R461" s="11">
        <v>4558.55</v>
      </c>
      <c r="S461" s="12">
        <v>-804.44999999999982</v>
      </c>
      <c r="T461" s="3">
        <f t="shared" si="15"/>
        <v>-115840800</v>
      </c>
    </row>
    <row r="462" spans="1:20" x14ac:dyDescent="0.3">
      <c r="A462" s="46">
        <v>45870</v>
      </c>
      <c r="B462" s="4">
        <v>2025</v>
      </c>
      <c r="C462" s="18" t="str">
        <f t="shared" si="14"/>
        <v>Aug</v>
      </c>
      <c r="D462" s="4" t="s">
        <v>11</v>
      </c>
      <c r="E462" s="4" t="s">
        <v>25</v>
      </c>
      <c r="F462" s="4">
        <v>373</v>
      </c>
      <c r="G462" s="4" t="s">
        <v>35</v>
      </c>
      <c r="H462" t="s">
        <v>60</v>
      </c>
      <c r="I462" s="6">
        <v>240000</v>
      </c>
      <c r="J462" s="7">
        <v>0.28000000000000003</v>
      </c>
      <c r="K462" s="20">
        <v>0.4</v>
      </c>
      <c r="L462" s="19">
        <v>307200</v>
      </c>
      <c r="M462" s="6">
        <v>336000</v>
      </c>
      <c r="N462" s="19">
        <v>28800</v>
      </c>
      <c r="O462" s="19">
        <v>1652736000</v>
      </c>
      <c r="P462" s="19">
        <v>1536528000</v>
      </c>
      <c r="Q462" s="4">
        <v>5380</v>
      </c>
      <c r="R462" s="11">
        <v>4573</v>
      </c>
      <c r="S462" s="12">
        <v>-807</v>
      </c>
      <c r="T462" s="3">
        <f t="shared" si="15"/>
        <v>-116208000</v>
      </c>
    </row>
    <row r="463" spans="1:20" x14ac:dyDescent="0.3">
      <c r="A463" s="45">
        <v>45901</v>
      </c>
      <c r="B463">
        <v>2025</v>
      </c>
      <c r="C463" s="18" t="str">
        <f t="shared" si="14"/>
        <v>Sep</v>
      </c>
      <c r="D463" t="s">
        <v>11</v>
      </c>
      <c r="E463" t="s">
        <v>25</v>
      </c>
      <c r="F463">
        <v>373</v>
      </c>
      <c r="G463" t="s">
        <v>35</v>
      </c>
      <c r="H463" t="s">
        <v>60</v>
      </c>
      <c r="I463" s="3">
        <v>240000</v>
      </c>
      <c r="J463" s="2">
        <v>0.28000000000000003</v>
      </c>
      <c r="K463" s="20">
        <v>0.4</v>
      </c>
      <c r="L463" s="19">
        <v>307200</v>
      </c>
      <c r="M463" s="3">
        <v>336000</v>
      </c>
      <c r="N463" s="19">
        <v>28800</v>
      </c>
      <c r="O463" s="19">
        <v>1607884800</v>
      </c>
      <c r="P463" s="19">
        <v>1494830399.9999998</v>
      </c>
      <c r="Q463">
        <v>5234</v>
      </c>
      <c r="R463" s="11">
        <v>4448.8999999999996</v>
      </c>
      <c r="S463" s="12">
        <v>-785.10000000000036</v>
      </c>
      <c r="T463" s="3">
        <f t="shared" si="15"/>
        <v>-113054400.00000024</v>
      </c>
    </row>
    <row r="464" spans="1:20" x14ac:dyDescent="0.3">
      <c r="A464" s="46">
        <v>44927</v>
      </c>
      <c r="B464" s="4">
        <v>2023</v>
      </c>
      <c r="C464" s="18" t="str">
        <f t="shared" si="14"/>
        <v>Jan</v>
      </c>
      <c r="D464" s="4" t="s">
        <v>11</v>
      </c>
      <c r="E464" s="4" t="s">
        <v>26</v>
      </c>
      <c r="F464" s="4">
        <v>373</v>
      </c>
      <c r="G464" s="4" t="s">
        <v>35</v>
      </c>
      <c r="H464" t="s">
        <v>60</v>
      </c>
      <c r="I464" s="6">
        <v>245000</v>
      </c>
      <c r="J464" s="7">
        <v>0.28000000000000003</v>
      </c>
      <c r="K464" s="20">
        <v>0.4</v>
      </c>
      <c r="L464" s="19">
        <v>313600</v>
      </c>
      <c r="M464" s="6">
        <v>343000</v>
      </c>
      <c r="N464" s="19">
        <v>29400</v>
      </c>
      <c r="O464" s="19">
        <v>1706611200</v>
      </c>
      <c r="P464" s="19">
        <v>1586615100</v>
      </c>
      <c r="Q464" s="4">
        <v>5442</v>
      </c>
      <c r="R464" s="11">
        <v>4625.7</v>
      </c>
      <c r="S464" s="12">
        <v>-816.30000000000018</v>
      </c>
      <c r="T464" s="3">
        <f t="shared" si="15"/>
        <v>-119996100</v>
      </c>
    </row>
    <row r="465" spans="1:20" x14ac:dyDescent="0.3">
      <c r="A465" s="45">
        <v>44958</v>
      </c>
      <c r="B465">
        <v>2023</v>
      </c>
      <c r="C465" s="18" t="str">
        <f t="shared" si="14"/>
        <v>Feb</v>
      </c>
      <c r="D465" t="s">
        <v>11</v>
      </c>
      <c r="E465" t="s">
        <v>26</v>
      </c>
      <c r="F465">
        <v>373</v>
      </c>
      <c r="G465" t="s">
        <v>35</v>
      </c>
      <c r="H465" t="s">
        <v>60</v>
      </c>
      <c r="I465" s="3">
        <v>245000</v>
      </c>
      <c r="J465" s="2">
        <v>0.28000000000000003</v>
      </c>
      <c r="K465" s="20">
        <v>0.4</v>
      </c>
      <c r="L465" s="19">
        <v>313600</v>
      </c>
      <c r="M465" s="3">
        <v>343000</v>
      </c>
      <c r="N465" s="19">
        <v>29400</v>
      </c>
      <c r="O465" s="19">
        <v>1514688000</v>
      </c>
      <c r="P465" s="19">
        <v>1408186500</v>
      </c>
      <c r="Q465">
        <v>4830</v>
      </c>
      <c r="R465" s="11">
        <v>4105.5</v>
      </c>
      <c r="S465" s="12">
        <v>-724.5</v>
      </c>
      <c r="T465" s="3">
        <f t="shared" si="15"/>
        <v>-106501500</v>
      </c>
    </row>
    <row r="466" spans="1:20" x14ac:dyDescent="0.3">
      <c r="A466" s="46">
        <v>44986</v>
      </c>
      <c r="B466" s="4">
        <v>2023</v>
      </c>
      <c r="C466" s="18" t="str">
        <f t="shared" si="14"/>
        <v>Mar</v>
      </c>
      <c r="D466" s="4" t="s">
        <v>11</v>
      </c>
      <c r="E466" s="4" t="s">
        <v>26</v>
      </c>
      <c r="F466" s="4">
        <v>373</v>
      </c>
      <c r="G466" s="4" t="s">
        <v>35</v>
      </c>
      <c r="H466" t="s">
        <v>60</v>
      </c>
      <c r="I466" s="6">
        <v>245000</v>
      </c>
      <c r="J466" s="7">
        <v>0.28000000000000003</v>
      </c>
      <c r="K466" s="20">
        <v>0.4</v>
      </c>
      <c r="L466" s="19">
        <v>313600</v>
      </c>
      <c r="M466" s="6">
        <v>343000</v>
      </c>
      <c r="N466" s="19">
        <v>29400</v>
      </c>
      <c r="O466" s="19">
        <v>1705356800</v>
      </c>
      <c r="P466" s="19">
        <v>1585448900</v>
      </c>
      <c r="Q466" s="4">
        <v>5438</v>
      </c>
      <c r="R466" s="11">
        <v>4622.3</v>
      </c>
      <c r="S466" s="12">
        <v>-815.69999999999982</v>
      </c>
      <c r="T466" s="3">
        <f t="shared" si="15"/>
        <v>-119907900</v>
      </c>
    </row>
    <row r="467" spans="1:20" x14ac:dyDescent="0.3">
      <c r="A467" s="45">
        <v>45017</v>
      </c>
      <c r="B467">
        <v>2023</v>
      </c>
      <c r="C467" s="18" t="str">
        <f t="shared" si="14"/>
        <v>Apr</v>
      </c>
      <c r="D467" t="s">
        <v>11</v>
      </c>
      <c r="E467" t="s">
        <v>26</v>
      </c>
      <c r="F467">
        <v>373</v>
      </c>
      <c r="G467" t="s">
        <v>35</v>
      </c>
      <c r="H467" t="s">
        <v>60</v>
      </c>
      <c r="I467" s="3">
        <v>245000</v>
      </c>
      <c r="J467" s="2">
        <v>0.28000000000000003</v>
      </c>
      <c r="K467" s="20">
        <v>0.4</v>
      </c>
      <c r="L467" s="19">
        <v>313600</v>
      </c>
      <c r="M467" s="3">
        <v>343000</v>
      </c>
      <c r="N467" s="19">
        <v>29400</v>
      </c>
      <c r="O467" s="19">
        <v>1887558400</v>
      </c>
      <c r="P467" s="19">
        <v>1754839449.9999998</v>
      </c>
      <c r="Q467">
        <v>6019</v>
      </c>
      <c r="R467" s="11">
        <v>5116.1499999999996</v>
      </c>
      <c r="S467" s="12">
        <v>-902.85000000000036</v>
      </c>
      <c r="T467" s="3">
        <f t="shared" si="15"/>
        <v>-132718950.00000024</v>
      </c>
    </row>
    <row r="468" spans="1:20" x14ac:dyDescent="0.3">
      <c r="A468" s="46">
        <v>45047</v>
      </c>
      <c r="B468" s="4">
        <v>2023</v>
      </c>
      <c r="C468" s="18" t="str">
        <f t="shared" si="14"/>
        <v>May</v>
      </c>
      <c r="D468" s="4" t="s">
        <v>11</v>
      </c>
      <c r="E468" s="4" t="s">
        <v>26</v>
      </c>
      <c r="F468" s="4">
        <v>373</v>
      </c>
      <c r="G468" s="4" t="s">
        <v>35</v>
      </c>
      <c r="H468" t="s">
        <v>60</v>
      </c>
      <c r="I468" s="6">
        <v>245000</v>
      </c>
      <c r="J468" s="7">
        <v>0.28000000000000003</v>
      </c>
      <c r="K468" s="20">
        <v>0.4</v>
      </c>
      <c r="L468" s="19">
        <v>313600</v>
      </c>
      <c r="M468" s="6">
        <v>343000</v>
      </c>
      <c r="N468" s="19">
        <v>29400</v>
      </c>
      <c r="O468" s="19">
        <v>1814803200</v>
      </c>
      <c r="P468" s="19">
        <v>1687199850</v>
      </c>
      <c r="Q468" s="4">
        <v>5787</v>
      </c>
      <c r="R468" s="11">
        <v>4918.95</v>
      </c>
      <c r="S468" s="12">
        <v>-868.05000000000018</v>
      </c>
      <c r="T468" s="3">
        <f t="shared" si="15"/>
        <v>-127603350</v>
      </c>
    </row>
    <row r="469" spans="1:20" x14ac:dyDescent="0.3">
      <c r="A469" s="45">
        <v>45078</v>
      </c>
      <c r="B469">
        <v>2023</v>
      </c>
      <c r="C469" s="18" t="str">
        <f t="shared" si="14"/>
        <v>Jun</v>
      </c>
      <c r="D469" t="s">
        <v>11</v>
      </c>
      <c r="E469" t="s">
        <v>26</v>
      </c>
      <c r="F469">
        <v>373</v>
      </c>
      <c r="G469" t="s">
        <v>35</v>
      </c>
      <c r="H469" t="s">
        <v>60</v>
      </c>
      <c r="I469" s="3">
        <v>245000</v>
      </c>
      <c r="J469" s="2">
        <v>0.28000000000000003</v>
      </c>
      <c r="K469" s="20">
        <v>0.4</v>
      </c>
      <c r="L469" s="19">
        <v>313600</v>
      </c>
      <c r="M469" s="3">
        <v>343000</v>
      </c>
      <c r="N469" s="19">
        <v>29400</v>
      </c>
      <c r="O469" s="19">
        <v>1804140800</v>
      </c>
      <c r="P469" s="19">
        <v>1677287150</v>
      </c>
      <c r="Q469">
        <v>5753</v>
      </c>
      <c r="R469" s="11">
        <v>4890.05</v>
      </c>
      <c r="S469" s="12">
        <v>-862.94999999999982</v>
      </c>
      <c r="T469" s="3">
        <f t="shared" si="15"/>
        <v>-126853650</v>
      </c>
    </row>
    <row r="470" spans="1:20" x14ac:dyDescent="0.3">
      <c r="A470" s="46">
        <v>45108</v>
      </c>
      <c r="B470" s="4">
        <v>2023</v>
      </c>
      <c r="C470" s="18" t="str">
        <f t="shared" si="14"/>
        <v>Jul</v>
      </c>
      <c r="D470" s="4" t="s">
        <v>11</v>
      </c>
      <c r="E470" s="4" t="s">
        <v>26</v>
      </c>
      <c r="F470" s="4">
        <v>373</v>
      </c>
      <c r="G470" s="4" t="s">
        <v>35</v>
      </c>
      <c r="H470" t="s">
        <v>60</v>
      </c>
      <c r="I470" s="6">
        <v>245000</v>
      </c>
      <c r="J470" s="7">
        <v>0.28000000000000003</v>
      </c>
      <c r="K470" s="20">
        <v>0.4</v>
      </c>
      <c r="L470" s="19">
        <v>313600</v>
      </c>
      <c r="M470" s="6">
        <v>343000</v>
      </c>
      <c r="N470" s="19">
        <v>29400</v>
      </c>
      <c r="O470" s="19">
        <v>1463571200</v>
      </c>
      <c r="P470" s="19">
        <v>1360663850</v>
      </c>
      <c r="Q470" s="4">
        <v>4667</v>
      </c>
      <c r="R470" s="11">
        <v>3966.95</v>
      </c>
      <c r="S470" s="12">
        <v>-700.05000000000018</v>
      </c>
      <c r="T470" s="3">
        <f t="shared" si="15"/>
        <v>-102907350</v>
      </c>
    </row>
    <row r="471" spans="1:20" x14ac:dyDescent="0.3">
      <c r="A471" s="45">
        <v>45139</v>
      </c>
      <c r="B471">
        <v>2023</v>
      </c>
      <c r="C471" s="18" t="str">
        <f t="shared" si="14"/>
        <v>Aug</v>
      </c>
      <c r="D471" t="s">
        <v>11</v>
      </c>
      <c r="E471" t="s">
        <v>26</v>
      </c>
      <c r="F471">
        <v>373</v>
      </c>
      <c r="G471" t="s">
        <v>35</v>
      </c>
      <c r="H471" t="s">
        <v>60</v>
      </c>
      <c r="I471" s="3">
        <v>245000</v>
      </c>
      <c r="J471" s="2">
        <v>0.28000000000000003</v>
      </c>
      <c r="K471" s="20">
        <v>0.4</v>
      </c>
      <c r="L471" s="19">
        <v>313600</v>
      </c>
      <c r="M471" s="3">
        <v>343000</v>
      </c>
      <c r="N471" s="19">
        <v>29400</v>
      </c>
      <c r="O471" s="19">
        <v>1468588800</v>
      </c>
      <c r="P471" s="19">
        <v>1365328650</v>
      </c>
      <c r="Q471">
        <v>4683</v>
      </c>
      <c r="R471" s="11">
        <v>3980.5499999999997</v>
      </c>
      <c r="S471" s="12">
        <v>-702.45000000000027</v>
      </c>
      <c r="T471" s="3">
        <f t="shared" si="15"/>
        <v>-103260150</v>
      </c>
    </row>
    <row r="472" spans="1:20" x14ac:dyDescent="0.3">
      <c r="A472" s="46">
        <v>45170</v>
      </c>
      <c r="B472" s="4">
        <v>2023</v>
      </c>
      <c r="C472" s="18" t="str">
        <f t="shared" si="14"/>
        <v>Sep</v>
      </c>
      <c r="D472" s="4" t="s">
        <v>11</v>
      </c>
      <c r="E472" s="4" t="s">
        <v>26</v>
      </c>
      <c r="F472" s="4">
        <v>373</v>
      </c>
      <c r="G472" s="4" t="s">
        <v>35</v>
      </c>
      <c r="H472" t="s">
        <v>60</v>
      </c>
      <c r="I472" s="6">
        <v>245000</v>
      </c>
      <c r="J472" s="7">
        <v>0.28000000000000003</v>
      </c>
      <c r="K472" s="20">
        <v>0.4</v>
      </c>
      <c r="L472" s="19">
        <v>313600</v>
      </c>
      <c r="M472" s="6">
        <v>343000</v>
      </c>
      <c r="N472" s="19">
        <v>29400</v>
      </c>
      <c r="O472" s="19">
        <v>1229625600</v>
      </c>
      <c r="P472" s="19">
        <v>1143167550</v>
      </c>
      <c r="Q472" s="4">
        <v>3921</v>
      </c>
      <c r="R472" s="11">
        <v>3332.85</v>
      </c>
      <c r="S472" s="12">
        <v>-588.15000000000009</v>
      </c>
      <c r="T472" s="3">
        <f t="shared" si="15"/>
        <v>-86458050</v>
      </c>
    </row>
    <row r="473" spans="1:20" x14ac:dyDescent="0.3">
      <c r="A473" s="45">
        <v>45200</v>
      </c>
      <c r="B473">
        <v>2023</v>
      </c>
      <c r="C473" s="18" t="str">
        <f t="shared" si="14"/>
        <v>Oct</v>
      </c>
      <c r="D473" t="s">
        <v>11</v>
      </c>
      <c r="E473" t="s">
        <v>26</v>
      </c>
      <c r="F473">
        <v>373</v>
      </c>
      <c r="G473" t="s">
        <v>35</v>
      </c>
      <c r="H473" t="s">
        <v>60</v>
      </c>
      <c r="I473" s="3">
        <v>245000</v>
      </c>
      <c r="J473" s="2">
        <v>0.28000000000000003</v>
      </c>
      <c r="K473" s="20">
        <v>0.4</v>
      </c>
      <c r="L473" s="19">
        <v>313600</v>
      </c>
      <c r="M473" s="3">
        <v>343000</v>
      </c>
      <c r="N473" s="19">
        <v>29400</v>
      </c>
      <c r="O473" s="19">
        <v>1173491200</v>
      </c>
      <c r="P473" s="19">
        <v>1090980100</v>
      </c>
      <c r="Q473">
        <v>3742</v>
      </c>
      <c r="R473" s="11">
        <v>3180.7</v>
      </c>
      <c r="S473" s="12">
        <v>-561.30000000000018</v>
      </c>
      <c r="T473" s="3">
        <f t="shared" si="15"/>
        <v>-82511100</v>
      </c>
    </row>
    <row r="474" spans="1:20" x14ac:dyDescent="0.3">
      <c r="A474" s="46">
        <v>45231</v>
      </c>
      <c r="B474" s="4">
        <v>2023</v>
      </c>
      <c r="C474" s="18" t="str">
        <f t="shared" si="14"/>
        <v>Nov</v>
      </c>
      <c r="D474" s="4" t="s">
        <v>11</v>
      </c>
      <c r="E474" s="4" t="s">
        <v>26</v>
      </c>
      <c r="F474" s="4">
        <v>373</v>
      </c>
      <c r="G474" s="4" t="s">
        <v>35</v>
      </c>
      <c r="H474" t="s">
        <v>60</v>
      </c>
      <c r="I474" s="6">
        <v>245000</v>
      </c>
      <c r="J474" s="7">
        <v>0.28000000000000003</v>
      </c>
      <c r="K474" s="20">
        <v>0.4</v>
      </c>
      <c r="L474" s="19">
        <v>313600</v>
      </c>
      <c r="M474" s="6">
        <v>343000</v>
      </c>
      <c r="N474" s="19">
        <v>29400</v>
      </c>
      <c r="O474" s="19">
        <v>1278233600</v>
      </c>
      <c r="P474" s="19">
        <v>1188357800</v>
      </c>
      <c r="Q474" s="4">
        <v>4076</v>
      </c>
      <c r="R474" s="11">
        <v>3464.6</v>
      </c>
      <c r="S474" s="12">
        <v>-611.40000000000009</v>
      </c>
      <c r="T474" s="3">
        <f t="shared" si="15"/>
        <v>-89875800</v>
      </c>
    </row>
    <row r="475" spans="1:20" x14ac:dyDescent="0.3">
      <c r="A475" s="45">
        <v>45261</v>
      </c>
      <c r="B475">
        <v>2023</v>
      </c>
      <c r="C475" s="18" t="str">
        <f t="shared" si="14"/>
        <v>Dec</v>
      </c>
      <c r="D475" t="s">
        <v>11</v>
      </c>
      <c r="E475" t="s">
        <v>26</v>
      </c>
      <c r="F475">
        <v>373</v>
      </c>
      <c r="G475" t="s">
        <v>35</v>
      </c>
      <c r="H475" t="s">
        <v>60</v>
      </c>
      <c r="I475" s="3">
        <v>245000</v>
      </c>
      <c r="J475" s="2">
        <v>0.28000000000000003</v>
      </c>
      <c r="K475" s="20">
        <v>0.4</v>
      </c>
      <c r="L475" s="19">
        <v>313600</v>
      </c>
      <c r="M475" s="3">
        <v>343000</v>
      </c>
      <c r="N475" s="19">
        <v>29400</v>
      </c>
      <c r="O475" s="19">
        <v>1617862400</v>
      </c>
      <c r="P475" s="19">
        <v>1504106449.9999998</v>
      </c>
      <c r="Q475">
        <v>5159</v>
      </c>
      <c r="R475" s="11">
        <v>4385.1499999999996</v>
      </c>
      <c r="S475" s="12">
        <v>-773.85000000000036</v>
      </c>
      <c r="T475" s="3">
        <f t="shared" si="15"/>
        <v>-113755950.00000024</v>
      </c>
    </row>
    <row r="476" spans="1:20" x14ac:dyDescent="0.3">
      <c r="A476" s="46">
        <v>45292</v>
      </c>
      <c r="B476" s="4">
        <v>2024</v>
      </c>
      <c r="C476" s="18" t="str">
        <f t="shared" si="14"/>
        <v>Jan</v>
      </c>
      <c r="D476" s="4" t="s">
        <v>11</v>
      </c>
      <c r="E476" s="4" t="s">
        <v>26</v>
      </c>
      <c r="F476" s="4">
        <v>373</v>
      </c>
      <c r="G476" s="4" t="s">
        <v>35</v>
      </c>
      <c r="H476" t="s">
        <v>60</v>
      </c>
      <c r="I476" s="6">
        <v>245000</v>
      </c>
      <c r="J476" s="7">
        <v>0.28000000000000003</v>
      </c>
      <c r="K476" s="20">
        <v>0.4</v>
      </c>
      <c r="L476" s="19">
        <v>313600</v>
      </c>
      <c r="M476" s="6">
        <v>343000</v>
      </c>
      <c r="N476" s="19">
        <v>29400</v>
      </c>
      <c r="O476" s="19">
        <v>1976307200</v>
      </c>
      <c r="P476" s="19">
        <v>1837348100</v>
      </c>
      <c r="Q476" s="4">
        <v>6302</v>
      </c>
      <c r="R476" s="11">
        <v>5356.7</v>
      </c>
      <c r="S476" s="12">
        <v>-945.30000000000018</v>
      </c>
      <c r="T476" s="3">
        <f t="shared" si="15"/>
        <v>-138959100</v>
      </c>
    </row>
    <row r="477" spans="1:20" x14ac:dyDescent="0.3">
      <c r="A477" s="45">
        <v>45323</v>
      </c>
      <c r="B477">
        <v>2024</v>
      </c>
      <c r="C477" s="18" t="str">
        <f t="shared" si="14"/>
        <v>Feb</v>
      </c>
      <c r="D477" t="s">
        <v>11</v>
      </c>
      <c r="E477" t="s">
        <v>26</v>
      </c>
      <c r="F477">
        <v>373</v>
      </c>
      <c r="G477" t="s">
        <v>35</v>
      </c>
      <c r="H477" t="s">
        <v>60</v>
      </c>
      <c r="I477" s="3">
        <v>245000</v>
      </c>
      <c r="J477" s="2">
        <v>0.28000000000000003</v>
      </c>
      <c r="K477" s="20">
        <v>0.4</v>
      </c>
      <c r="L477" s="19">
        <v>313600</v>
      </c>
      <c r="M477" s="3">
        <v>343000</v>
      </c>
      <c r="N477" s="19">
        <v>29400</v>
      </c>
      <c r="O477" s="19">
        <v>1674624000</v>
      </c>
      <c r="P477" s="19">
        <v>1556877000</v>
      </c>
      <c r="Q477">
        <v>5340</v>
      </c>
      <c r="R477" s="11">
        <v>4539</v>
      </c>
      <c r="S477" s="12">
        <v>-801</v>
      </c>
      <c r="T477" s="3">
        <f t="shared" si="15"/>
        <v>-117747000</v>
      </c>
    </row>
    <row r="478" spans="1:20" x14ac:dyDescent="0.3">
      <c r="A478" s="46">
        <v>45352</v>
      </c>
      <c r="B478" s="4">
        <v>2024</v>
      </c>
      <c r="C478" s="18" t="str">
        <f t="shared" si="14"/>
        <v>Mar</v>
      </c>
      <c r="D478" s="4" t="s">
        <v>11</v>
      </c>
      <c r="E478" s="4" t="s">
        <v>26</v>
      </c>
      <c r="F478" s="4">
        <v>373</v>
      </c>
      <c r="G478" s="4" t="s">
        <v>35</v>
      </c>
      <c r="H478" t="s">
        <v>60</v>
      </c>
      <c r="I478" s="6">
        <v>245000</v>
      </c>
      <c r="J478" s="7">
        <v>0.28000000000000003</v>
      </c>
      <c r="K478" s="20">
        <v>0.4</v>
      </c>
      <c r="L478" s="19">
        <v>313600</v>
      </c>
      <c r="M478" s="6">
        <v>343000</v>
      </c>
      <c r="N478" s="19">
        <v>29400</v>
      </c>
      <c r="O478" s="19">
        <v>1901670400</v>
      </c>
      <c r="P478" s="19">
        <v>1767959199.9999998</v>
      </c>
      <c r="Q478" s="4">
        <v>6064</v>
      </c>
      <c r="R478" s="11">
        <v>5154.3999999999996</v>
      </c>
      <c r="S478" s="12">
        <v>-909.60000000000036</v>
      </c>
      <c r="T478" s="3">
        <f t="shared" si="15"/>
        <v>-133711200.00000024</v>
      </c>
    </row>
    <row r="479" spans="1:20" x14ac:dyDescent="0.3">
      <c r="A479" s="45">
        <v>45383</v>
      </c>
      <c r="B479">
        <v>2024</v>
      </c>
      <c r="C479" s="18" t="str">
        <f t="shared" si="14"/>
        <v>Apr</v>
      </c>
      <c r="D479" t="s">
        <v>11</v>
      </c>
      <c r="E479" t="s">
        <v>26</v>
      </c>
      <c r="F479">
        <v>373</v>
      </c>
      <c r="G479" t="s">
        <v>35</v>
      </c>
      <c r="H479" t="s">
        <v>60</v>
      </c>
      <c r="I479" s="3">
        <v>245000</v>
      </c>
      <c r="J479" s="2">
        <v>0.28000000000000003</v>
      </c>
      <c r="K479" s="20">
        <v>0.4</v>
      </c>
      <c r="L479" s="19">
        <v>313600</v>
      </c>
      <c r="M479" s="3">
        <v>343000</v>
      </c>
      <c r="N479" s="19">
        <v>29400</v>
      </c>
      <c r="O479" s="19">
        <v>1788147200</v>
      </c>
      <c r="P479" s="19">
        <v>1662418100</v>
      </c>
      <c r="Q479">
        <v>5702</v>
      </c>
      <c r="R479" s="11">
        <v>4846.7</v>
      </c>
      <c r="S479" s="12">
        <v>-855.30000000000018</v>
      </c>
      <c r="T479" s="3">
        <f t="shared" si="15"/>
        <v>-125729100</v>
      </c>
    </row>
    <row r="480" spans="1:20" x14ac:dyDescent="0.3">
      <c r="A480" s="46">
        <v>45413</v>
      </c>
      <c r="B480" s="4">
        <v>2024</v>
      </c>
      <c r="C480" s="18" t="str">
        <f t="shared" si="14"/>
        <v>May</v>
      </c>
      <c r="D480" s="4" t="s">
        <v>11</v>
      </c>
      <c r="E480" s="4" t="s">
        <v>26</v>
      </c>
      <c r="F480" s="4">
        <v>373</v>
      </c>
      <c r="G480" s="4" t="s">
        <v>35</v>
      </c>
      <c r="H480" t="s">
        <v>60</v>
      </c>
      <c r="I480" s="6">
        <v>245000</v>
      </c>
      <c r="J480" s="7">
        <v>0.28000000000000003</v>
      </c>
      <c r="K480" s="20">
        <v>0.4</v>
      </c>
      <c r="L480" s="19">
        <v>313600</v>
      </c>
      <c r="M480" s="6">
        <v>343000</v>
      </c>
      <c r="N480" s="19">
        <v>29400</v>
      </c>
      <c r="O480" s="19">
        <v>1626329600</v>
      </c>
      <c r="P480" s="19">
        <v>1511978299.9999998</v>
      </c>
      <c r="Q480" s="4">
        <v>5186</v>
      </c>
      <c r="R480" s="11">
        <v>4408.0999999999995</v>
      </c>
      <c r="S480" s="12">
        <v>-777.90000000000055</v>
      </c>
      <c r="T480" s="3">
        <f t="shared" si="15"/>
        <v>-114351300.00000024</v>
      </c>
    </row>
    <row r="481" spans="1:20" x14ac:dyDescent="0.3">
      <c r="A481" s="45">
        <v>45444</v>
      </c>
      <c r="B481">
        <v>2024</v>
      </c>
      <c r="C481" s="18" t="str">
        <f t="shared" si="14"/>
        <v>Jun</v>
      </c>
      <c r="D481" t="s">
        <v>11</v>
      </c>
      <c r="E481" t="s">
        <v>26</v>
      </c>
      <c r="F481">
        <v>373</v>
      </c>
      <c r="G481" t="s">
        <v>35</v>
      </c>
      <c r="H481" t="s">
        <v>60</v>
      </c>
      <c r="I481" s="3">
        <v>245000</v>
      </c>
      <c r="J481" s="2">
        <v>0.28000000000000003</v>
      </c>
      <c r="K481" s="20">
        <v>0.4</v>
      </c>
      <c r="L481" s="19">
        <v>313600</v>
      </c>
      <c r="M481" s="3">
        <v>343000</v>
      </c>
      <c r="N481" s="19">
        <v>29400</v>
      </c>
      <c r="O481" s="19">
        <v>1518137600</v>
      </c>
      <c r="P481" s="19">
        <v>1411393549.9999998</v>
      </c>
      <c r="Q481">
        <v>4841</v>
      </c>
      <c r="R481" s="11">
        <v>4114.8499999999995</v>
      </c>
      <c r="S481" s="12">
        <v>-726.15000000000055</v>
      </c>
      <c r="T481" s="3">
        <f t="shared" si="15"/>
        <v>-106744050.00000024</v>
      </c>
    </row>
    <row r="482" spans="1:20" x14ac:dyDescent="0.3">
      <c r="A482" s="46">
        <v>45474</v>
      </c>
      <c r="B482" s="4">
        <v>2024</v>
      </c>
      <c r="C482" s="18" t="str">
        <f t="shared" si="14"/>
        <v>Jul</v>
      </c>
      <c r="D482" s="4" t="s">
        <v>11</v>
      </c>
      <c r="E482" s="4" t="s">
        <v>26</v>
      </c>
      <c r="F482" s="4">
        <v>373</v>
      </c>
      <c r="G482" s="4" t="s">
        <v>35</v>
      </c>
      <c r="H482" t="s">
        <v>60</v>
      </c>
      <c r="I482" s="6">
        <v>245000</v>
      </c>
      <c r="J482" s="7">
        <v>0.28000000000000003</v>
      </c>
      <c r="K482" s="20">
        <v>0.4</v>
      </c>
      <c r="L482" s="19">
        <v>313600</v>
      </c>
      <c r="M482" s="6">
        <v>343000</v>
      </c>
      <c r="N482" s="19">
        <v>29400</v>
      </c>
      <c r="O482" s="19">
        <v>1316492800</v>
      </c>
      <c r="P482" s="19">
        <v>1223926900</v>
      </c>
      <c r="Q482" s="4">
        <v>4198</v>
      </c>
      <c r="R482" s="11">
        <v>3568.2999999999997</v>
      </c>
      <c r="S482" s="12">
        <v>-629.70000000000027</v>
      </c>
      <c r="T482" s="3">
        <f t="shared" si="15"/>
        <v>-92565900</v>
      </c>
    </row>
    <row r="483" spans="1:20" x14ac:dyDescent="0.3">
      <c r="A483" s="45">
        <v>45505</v>
      </c>
      <c r="B483">
        <v>2024</v>
      </c>
      <c r="C483" s="18" t="str">
        <f t="shared" si="14"/>
        <v>Aug</v>
      </c>
      <c r="D483" t="s">
        <v>11</v>
      </c>
      <c r="E483" t="s">
        <v>26</v>
      </c>
      <c r="F483">
        <v>373</v>
      </c>
      <c r="G483" t="s">
        <v>35</v>
      </c>
      <c r="H483" t="s">
        <v>60</v>
      </c>
      <c r="I483" s="3">
        <v>245000</v>
      </c>
      <c r="J483" s="2">
        <v>0.28000000000000003</v>
      </c>
      <c r="K483" s="20">
        <v>0.4</v>
      </c>
      <c r="L483" s="19">
        <v>313600</v>
      </c>
      <c r="M483" s="3">
        <v>343000</v>
      </c>
      <c r="N483" s="19">
        <v>29400</v>
      </c>
      <c r="O483" s="19">
        <v>1290150400</v>
      </c>
      <c r="P483" s="19">
        <v>1199436700</v>
      </c>
      <c r="Q483">
        <v>4114</v>
      </c>
      <c r="R483" s="11">
        <v>3496.9</v>
      </c>
      <c r="S483" s="12">
        <v>-617.09999999999991</v>
      </c>
      <c r="T483" s="3">
        <f t="shared" si="15"/>
        <v>-90713700</v>
      </c>
    </row>
    <row r="484" spans="1:20" x14ac:dyDescent="0.3">
      <c r="A484" s="46">
        <v>45536</v>
      </c>
      <c r="B484" s="4">
        <v>2024</v>
      </c>
      <c r="C484" s="18" t="str">
        <f t="shared" si="14"/>
        <v>Sep</v>
      </c>
      <c r="D484" s="4" t="s">
        <v>11</v>
      </c>
      <c r="E484" s="4" t="s">
        <v>26</v>
      </c>
      <c r="F484" s="4">
        <v>373</v>
      </c>
      <c r="G484" s="4" t="s">
        <v>35</v>
      </c>
      <c r="H484" t="s">
        <v>60</v>
      </c>
      <c r="I484" s="6">
        <v>245000</v>
      </c>
      <c r="J484" s="7">
        <v>0.28000000000000003</v>
      </c>
      <c r="K484" s="20">
        <v>0.4</v>
      </c>
      <c r="L484" s="19">
        <v>313600</v>
      </c>
      <c r="M484" s="6">
        <v>343000</v>
      </c>
      <c r="N484" s="19">
        <v>29400</v>
      </c>
      <c r="O484" s="19">
        <v>1261299200</v>
      </c>
      <c r="P484" s="19">
        <v>1172614100</v>
      </c>
      <c r="Q484" s="4">
        <v>4022</v>
      </c>
      <c r="R484" s="11">
        <v>3418.7</v>
      </c>
      <c r="S484" s="12">
        <v>-603.30000000000018</v>
      </c>
      <c r="T484" s="3">
        <f t="shared" si="15"/>
        <v>-88685100</v>
      </c>
    </row>
    <row r="485" spans="1:20" x14ac:dyDescent="0.3">
      <c r="A485" s="45">
        <v>45566</v>
      </c>
      <c r="B485">
        <v>2024</v>
      </c>
      <c r="C485" s="18" t="str">
        <f t="shared" si="14"/>
        <v>Oct</v>
      </c>
      <c r="D485" t="s">
        <v>11</v>
      </c>
      <c r="E485" t="s">
        <v>26</v>
      </c>
      <c r="F485">
        <v>373</v>
      </c>
      <c r="G485" t="s">
        <v>35</v>
      </c>
      <c r="H485" t="s">
        <v>60</v>
      </c>
      <c r="I485" s="3">
        <v>245000</v>
      </c>
      <c r="J485" s="2">
        <v>0.28000000000000003</v>
      </c>
      <c r="K485" s="20">
        <v>0.4</v>
      </c>
      <c r="L485" s="19">
        <v>313600</v>
      </c>
      <c r="M485" s="3">
        <v>343000</v>
      </c>
      <c r="N485" s="19">
        <v>29400</v>
      </c>
      <c r="O485" s="19">
        <v>1345971200</v>
      </c>
      <c r="P485" s="19">
        <v>1251332600</v>
      </c>
      <c r="Q485">
        <v>4292</v>
      </c>
      <c r="R485" s="11">
        <v>3648.2</v>
      </c>
      <c r="S485" s="12">
        <v>-643.80000000000018</v>
      </c>
      <c r="T485" s="3">
        <f t="shared" si="15"/>
        <v>-94638600</v>
      </c>
    </row>
    <row r="486" spans="1:20" x14ac:dyDescent="0.3">
      <c r="A486" s="46">
        <v>45597</v>
      </c>
      <c r="B486" s="4">
        <v>2024</v>
      </c>
      <c r="C486" s="18" t="str">
        <f t="shared" si="14"/>
        <v>Nov</v>
      </c>
      <c r="D486" s="4" t="s">
        <v>11</v>
      </c>
      <c r="E486" s="4" t="s">
        <v>26</v>
      </c>
      <c r="F486" s="4">
        <v>373</v>
      </c>
      <c r="G486" s="4" t="s">
        <v>35</v>
      </c>
      <c r="H486" t="s">
        <v>60</v>
      </c>
      <c r="I486" s="6">
        <v>245000</v>
      </c>
      <c r="J486" s="7">
        <v>0.28000000000000003</v>
      </c>
      <c r="K486" s="20">
        <v>0.4</v>
      </c>
      <c r="L486" s="19">
        <v>313600</v>
      </c>
      <c r="M486" s="6">
        <v>343000</v>
      </c>
      <c r="N486" s="19">
        <v>29400</v>
      </c>
      <c r="O486" s="19">
        <v>1358828800</v>
      </c>
      <c r="P486" s="19">
        <v>1263286150</v>
      </c>
      <c r="Q486" s="4">
        <v>4333</v>
      </c>
      <c r="R486" s="11">
        <v>3683.0499999999997</v>
      </c>
      <c r="S486" s="12">
        <v>-649.95000000000027</v>
      </c>
      <c r="T486" s="3">
        <f t="shared" si="15"/>
        <v>-95542650</v>
      </c>
    </row>
    <row r="487" spans="1:20" x14ac:dyDescent="0.3">
      <c r="A487" s="45">
        <v>45627</v>
      </c>
      <c r="B487">
        <v>2024</v>
      </c>
      <c r="C487" s="18" t="str">
        <f t="shared" si="14"/>
        <v>Dec</v>
      </c>
      <c r="D487" t="s">
        <v>11</v>
      </c>
      <c r="E487" t="s">
        <v>26</v>
      </c>
      <c r="F487">
        <v>373</v>
      </c>
      <c r="G487" t="s">
        <v>35</v>
      </c>
      <c r="H487" t="s">
        <v>60</v>
      </c>
      <c r="I487" s="3">
        <v>245000</v>
      </c>
      <c r="J487" s="2">
        <v>0.28000000000000003</v>
      </c>
      <c r="K487" s="20">
        <v>0.4</v>
      </c>
      <c r="L487" s="19">
        <v>313600</v>
      </c>
      <c r="M487" s="3">
        <v>343000</v>
      </c>
      <c r="N487" s="19">
        <v>29400</v>
      </c>
      <c r="O487" s="19">
        <v>1463257600</v>
      </c>
      <c r="P487" s="19">
        <v>1360372300</v>
      </c>
      <c r="Q487">
        <v>4666</v>
      </c>
      <c r="R487" s="11">
        <v>3966.1</v>
      </c>
      <c r="S487" s="12">
        <v>-699.90000000000009</v>
      </c>
      <c r="T487" s="3">
        <f t="shared" si="15"/>
        <v>-102885300</v>
      </c>
    </row>
    <row r="488" spans="1:20" x14ac:dyDescent="0.3">
      <c r="A488" s="46">
        <v>45658</v>
      </c>
      <c r="B488" s="4">
        <v>2025</v>
      </c>
      <c r="C488" s="18" t="str">
        <f t="shared" si="14"/>
        <v>Jan</v>
      </c>
      <c r="D488" s="4" t="s">
        <v>11</v>
      </c>
      <c r="E488" s="4" t="s">
        <v>26</v>
      </c>
      <c r="F488" s="4">
        <v>373</v>
      </c>
      <c r="G488" s="4" t="s">
        <v>35</v>
      </c>
      <c r="H488" t="s">
        <v>60</v>
      </c>
      <c r="I488" s="6">
        <v>245000</v>
      </c>
      <c r="J488" s="7">
        <v>0.28000000000000003</v>
      </c>
      <c r="K488" s="20">
        <v>0.4</v>
      </c>
      <c r="L488" s="19">
        <v>313600</v>
      </c>
      <c r="M488" s="6">
        <v>343000</v>
      </c>
      <c r="N488" s="19">
        <v>29400</v>
      </c>
      <c r="O488" s="19">
        <v>1648595200</v>
      </c>
      <c r="P488" s="19">
        <v>1532678350</v>
      </c>
      <c r="Q488" s="4">
        <v>5257</v>
      </c>
      <c r="R488" s="11">
        <v>4468.45</v>
      </c>
      <c r="S488" s="12">
        <v>-788.55000000000018</v>
      </c>
      <c r="T488" s="3">
        <f t="shared" si="15"/>
        <v>-115916850</v>
      </c>
    </row>
    <row r="489" spans="1:20" x14ac:dyDescent="0.3">
      <c r="A489" s="45">
        <v>45689</v>
      </c>
      <c r="B489">
        <v>2025</v>
      </c>
      <c r="C489" s="18" t="str">
        <f t="shared" si="14"/>
        <v>Feb</v>
      </c>
      <c r="D489" t="s">
        <v>11</v>
      </c>
      <c r="E489" t="s">
        <v>26</v>
      </c>
      <c r="F489">
        <v>373</v>
      </c>
      <c r="G489" t="s">
        <v>35</v>
      </c>
      <c r="H489" t="s">
        <v>60</v>
      </c>
      <c r="I489" s="3">
        <v>245000</v>
      </c>
      <c r="J489" s="2">
        <v>0.28000000000000003</v>
      </c>
      <c r="K489" s="20">
        <v>0.4</v>
      </c>
      <c r="L489" s="19">
        <v>313600</v>
      </c>
      <c r="M489" s="3">
        <v>343000</v>
      </c>
      <c r="N489" s="19">
        <v>29400</v>
      </c>
      <c r="O489" s="19">
        <v>1753651200</v>
      </c>
      <c r="P489" s="19">
        <v>1630347600</v>
      </c>
      <c r="Q489">
        <v>5592</v>
      </c>
      <c r="R489" s="11">
        <v>4753.2</v>
      </c>
      <c r="S489" s="12">
        <v>-838.80000000000018</v>
      </c>
      <c r="T489" s="3">
        <f t="shared" si="15"/>
        <v>-123303600</v>
      </c>
    </row>
    <row r="490" spans="1:20" x14ac:dyDescent="0.3">
      <c r="A490" s="46">
        <v>45717</v>
      </c>
      <c r="B490" s="4">
        <v>2025</v>
      </c>
      <c r="C490" s="18" t="str">
        <f t="shared" si="14"/>
        <v>Mar</v>
      </c>
      <c r="D490" s="4" t="s">
        <v>11</v>
      </c>
      <c r="E490" s="4" t="s">
        <v>26</v>
      </c>
      <c r="F490" s="4">
        <v>373</v>
      </c>
      <c r="G490" s="4" t="s">
        <v>35</v>
      </c>
      <c r="H490" t="s">
        <v>60</v>
      </c>
      <c r="I490" s="6">
        <v>245000</v>
      </c>
      <c r="J490" s="7">
        <v>0.28000000000000003</v>
      </c>
      <c r="K490" s="20">
        <v>0.4</v>
      </c>
      <c r="L490" s="19">
        <v>313600</v>
      </c>
      <c r="M490" s="6">
        <v>343000</v>
      </c>
      <c r="N490" s="19">
        <v>29400</v>
      </c>
      <c r="O490" s="19">
        <v>1790342400</v>
      </c>
      <c r="P490" s="19">
        <v>1664458949.9999998</v>
      </c>
      <c r="Q490" s="4">
        <v>5709</v>
      </c>
      <c r="R490" s="11">
        <v>4852.6499999999996</v>
      </c>
      <c r="S490" s="12">
        <v>-856.35000000000036</v>
      </c>
      <c r="T490" s="3">
        <f t="shared" si="15"/>
        <v>-125883450.00000024</v>
      </c>
    </row>
    <row r="491" spans="1:20" x14ac:dyDescent="0.3">
      <c r="A491" s="45">
        <v>45748</v>
      </c>
      <c r="B491">
        <v>2025</v>
      </c>
      <c r="C491" s="18" t="str">
        <f t="shared" si="14"/>
        <v>Apr</v>
      </c>
      <c r="D491" t="s">
        <v>11</v>
      </c>
      <c r="E491" t="s">
        <v>26</v>
      </c>
      <c r="F491">
        <v>373</v>
      </c>
      <c r="G491" t="s">
        <v>35</v>
      </c>
      <c r="H491" t="s">
        <v>60</v>
      </c>
      <c r="I491" s="3">
        <v>245000</v>
      </c>
      <c r="J491" s="2">
        <v>0.28000000000000003</v>
      </c>
      <c r="K491" s="20">
        <v>0.4</v>
      </c>
      <c r="L491" s="19">
        <v>313600</v>
      </c>
      <c r="M491" s="3">
        <v>343000</v>
      </c>
      <c r="N491" s="19">
        <v>29400</v>
      </c>
      <c r="O491" s="19">
        <v>1701907200</v>
      </c>
      <c r="P491" s="19">
        <v>1582241850</v>
      </c>
      <c r="Q491">
        <v>5427</v>
      </c>
      <c r="R491" s="11">
        <v>4612.95</v>
      </c>
      <c r="S491" s="12">
        <v>-814.05000000000018</v>
      </c>
      <c r="T491" s="3">
        <f t="shared" si="15"/>
        <v>-119665350</v>
      </c>
    </row>
    <row r="492" spans="1:20" x14ac:dyDescent="0.3">
      <c r="A492" s="46">
        <v>45778</v>
      </c>
      <c r="B492" s="4">
        <v>2025</v>
      </c>
      <c r="C492" s="18" t="str">
        <f t="shared" si="14"/>
        <v>May</v>
      </c>
      <c r="D492" s="4" t="s">
        <v>11</v>
      </c>
      <c r="E492" s="4" t="s">
        <v>26</v>
      </c>
      <c r="F492" s="4">
        <v>373</v>
      </c>
      <c r="G492" s="4" t="s">
        <v>35</v>
      </c>
      <c r="H492" t="s">
        <v>60</v>
      </c>
      <c r="I492" s="6">
        <v>245000</v>
      </c>
      <c r="J492" s="7">
        <v>0.28000000000000003</v>
      </c>
      <c r="K492" s="20">
        <v>0.4</v>
      </c>
      <c r="L492" s="19">
        <v>313600</v>
      </c>
      <c r="M492" s="6">
        <v>343000</v>
      </c>
      <c r="N492" s="19">
        <v>29400</v>
      </c>
      <c r="O492" s="19">
        <v>1661452800</v>
      </c>
      <c r="P492" s="19">
        <v>1544631900</v>
      </c>
      <c r="Q492" s="4">
        <v>5298</v>
      </c>
      <c r="R492" s="11">
        <v>4503.3</v>
      </c>
      <c r="S492" s="12">
        <v>-794.69999999999982</v>
      </c>
      <c r="T492" s="3">
        <f t="shared" si="15"/>
        <v>-116820900</v>
      </c>
    </row>
    <row r="493" spans="1:20" x14ac:dyDescent="0.3">
      <c r="A493" s="45">
        <v>45809</v>
      </c>
      <c r="B493">
        <v>2025</v>
      </c>
      <c r="C493" s="18" t="str">
        <f t="shared" si="14"/>
        <v>Jun</v>
      </c>
      <c r="D493" t="s">
        <v>11</v>
      </c>
      <c r="E493" t="s">
        <v>26</v>
      </c>
      <c r="F493">
        <v>373</v>
      </c>
      <c r="G493" t="s">
        <v>35</v>
      </c>
      <c r="H493" t="s">
        <v>60</v>
      </c>
      <c r="I493" s="3">
        <v>245000</v>
      </c>
      <c r="J493" s="2">
        <v>0.28000000000000003</v>
      </c>
      <c r="K493" s="20">
        <v>0.4</v>
      </c>
      <c r="L493" s="19">
        <v>313600</v>
      </c>
      <c r="M493" s="3">
        <v>343000</v>
      </c>
      <c r="N493" s="19">
        <v>29400</v>
      </c>
      <c r="O493" s="19">
        <v>1507475200</v>
      </c>
      <c r="P493" s="19">
        <v>1401480850</v>
      </c>
      <c r="Q493">
        <v>4807</v>
      </c>
      <c r="R493" s="11">
        <v>4085.95</v>
      </c>
      <c r="S493" s="12">
        <v>-721.05000000000018</v>
      </c>
      <c r="T493" s="3">
        <f t="shared" si="15"/>
        <v>-105994350</v>
      </c>
    </row>
    <row r="494" spans="1:20" x14ac:dyDescent="0.3">
      <c r="A494" s="46">
        <v>45839</v>
      </c>
      <c r="B494" s="4">
        <v>2025</v>
      </c>
      <c r="C494" s="18" t="str">
        <f t="shared" si="14"/>
        <v>Jul</v>
      </c>
      <c r="D494" s="4" t="s">
        <v>11</v>
      </c>
      <c r="E494" s="4" t="s">
        <v>26</v>
      </c>
      <c r="F494" s="4">
        <v>373</v>
      </c>
      <c r="G494" s="4" t="s">
        <v>35</v>
      </c>
      <c r="H494" t="s">
        <v>60</v>
      </c>
      <c r="I494" s="6">
        <v>245000</v>
      </c>
      <c r="J494" s="7">
        <v>0.28000000000000003</v>
      </c>
      <c r="K494" s="20">
        <v>0.4</v>
      </c>
      <c r="L494" s="19">
        <v>313600</v>
      </c>
      <c r="M494" s="6">
        <v>343000</v>
      </c>
      <c r="N494" s="19">
        <v>29400</v>
      </c>
      <c r="O494" s="19">
        <v>1267257600</v>
      </c>
      <c r="P494" s="19">
        <v>1178153550</v>
      </c>
      <c r="Q494" s="4">
        <v>4041</v>
      </c>
      <c r="R494" s="11">
        <v>3434.85</v>
      </c>
      <c r="S494" s="12">
        <v>-606.15000000000009</v>
      </c>
      <c r="T494" s="3">
        <f t="shared" si="15"/>
        <v>-89104050</v>
      </c>
    </row>
    <row r="495" spans="1:20" x14ac:dyDescent="0.3">
      <c r="A495" s="45">
        <v>45870</v>
      </c>
      <c r="B495">
        <v>2025</v>
      </c>
      <c r="C495" s="18" t="str">
        <f t="shared" si="14"/>
        <v>Aug</v>
      </c>
      <c r="D495" t="s">
        <v>11</v>
      </c>
      <c r="E495" t="s">
        <v>26</v>
      </c>
      <c r="F495">
        <v>373</v>
      </c>
      <c r="G495" t="s">
        <v>35</v>
      </c>
      <c r="H495" t="s">
        <v>60</v>
      </c>
      <c r="I495" s="3">
        <v>245000</v>
      </c>
      <c r="J495" s="2">
        <v>0.28000000000000003</v>
      </c>
      <c r="K495" s="20">
        <v>0.4</v>
      </c>
      <c r="L495" s="19">
        <v>313600</v>
      </c>
      <c r="M495" s="3">
        <v>343000</v>
      </c>
      <c r="N495" s="19">
        <v>29400</v>
      </c>
      <c r="O495" s="19">
        <v>1413395200</v>
      </c>
      <c r="P495" s="19">
        <v>1314015850</v>
      </c>
      <c r="Q495">
        <v>4507</v>
      </c>
      <c r="R495" s="11">
        <v>3830.95</v>
      </c>
      <c r="S495" s="12">
        <v>-676.05000000000018</v>
      </c>
      <c r="T495" s="3">
        <f t="shared" si="15"/>
        <v>-99379350</v>
      </c>
    </row>
    <row r="496" spans="1:20" x14ac:dyDescent="0.3">
      <c r="A496" s="47">
        <v>45901</v>
      </c>
      <c r="B496" s="5">
        <v>2025</v>
      </c>
      <c r="C496" s="18" t="str">
        <f t="shared" si="14"/>
        <v>Sep</v>
      </c>
      <c r="D496" s="5" t="s">
        <v>11</v>
      </c>
      <c r="E496" s="5" t="s">
        <v>26</v>
      </c>
      <c r="F496" s="5">
        <v>373</v>
      </c>
      <c r="G496" s="5" t="s">
        <v>35</v>
      </c>
      <c r="H496" t="s">
        <v>60</v>
      </c>
      <c r="I496" s="22">
        <v>245000</v>
      </c>
      <c r="J496" s="23" t="s">
        <v>61</v>
      </c>
      <c r="K496" s="20">
        <v>0.4</v>
      </c>
      <c r="L496" s="19">
        <v>313600</v>
      </c>
      <c r="M496" s="22">
        <v>343000</v>
      </c>
      <c r="N496" s="19">
        <v>29400</v>
      </c>
      <c r="O496" s="19">
        <v>1607513600</v>
      </c>
      <c r="P496" s="25">
        <v>1494485299.9999998</v>
      </c>
      <c r="Q496" s="5">
        <v>5126</v>
      </c>
      <c r="R496" s="24">
        <v>4357.0999999999995</v>
      </c>
      <c r="S496" s="12">
        <v>-768.90000000000055</v>
      </c>
      <c r="T496" s="3">
        <f t="shared" si="15"/>
        <v>-113028300.00000024</v>
      </c>
    </row>
    <row r="497" spans="1:10" x14ac:dyDescent="0.3">
      <c r="A497" s="43"/>
      <c r="B497" s="13"/>
      <c r="C497" s="13"/>
      <c r="D497" s="13"/>
      <c r="E497" s="13"/>
      <c r="F497" s="13"/>
      <c r="G497" s="13"/>
      <c r="H497" s="31"/>
      <c r="I497" s="14"/>
      <c r="J497" s="15"/>
    </row>
    <row r="498" spans="1:10" x14ac:dyDescent="0.3">
      <c r="A498" s="48"/>
      <c r="B498" s="32"/>
      <c r="C498" s="32"/>
      <c r="D498" s="32"/>
      <c r="E498" s="32"/>
      <c r="F498" s="32"/>
      <c r="G498" s="32"/>
      <c r="H498" s="33"/>
      <c r="I498" s="34"/>
      <c r="J498" s="35"/>
    </row>
    <row r="499" spans="1:10" x14ac:dyDescent="0.3">
      <c r="A499" s="49"/>
      <c r="B499" s="29"/>
      <c r="C499" s="29"/>
      <c r="D499" s="29"/>
      <c r="E499" s="29"/>
      <c r="F499" s="29"/>
      <c r="G499" s="29"/>
      <c r="H499" s="29"/>
      <c r="I499" s="36"/>
      <c r="J499" s="37"/>
    </row>
    <row r="500" spans="1:10" x14ac:dyDescent="0.3">
      <c r="A500" s="50"/>
      <c r="B500" s="28"/>
      <c r="C500" s="28"/>
      <c r="D500" s="28"/>
      <c r="E500" s="28"/>
      <c r="F500" s="28"/>
      <c r="G500" s="28"/>
      <c r="H500" s="28"/>
      <c r="I500" s="38"/>
      <c r="J500" s="39"/>
    </row>
    <row r="501" spans="1:10" x14ac:dyDescent="0.3">
      <c r="A501" s="49"/>
      <c r="B501" s="29"/>
      <c r="C501" s="29"/>
      <c r="D501" s="29"/>
      <c r="E501" s="29"/>
      <c r="F501" s="29"/>
      <c r="G501" s="29"/>
      <c r="H501" s="29"/>
      <c r="I501" s="36"/>
      <c r="J501" s="37"/>
    </row>
    <row r="502" spans="1:10" x14ac:dyDescent="0.3">
      <c r="A502" s="50"/>
      <c r="B502" s="28"/>
      <c r="C502" s="28"/>
      <c r="D502" s="28"/>
      <c r="E502" s="28"/>
      <c r="F502" s="28"/>
      <c r="G502" s="28"/>
      <c r="H502" s="28"/>
      <c r="I502" s="38"/>
      <c r="J502" s="39"/>
    </row>
    <row r="503" spans="1:10" x14ac:dyDescent="0.3">
      <c r="A503" s="49"/>
      <c r="B503" s="29"/>
      <c r="C503" s="29"/>
      <c r="D503" s="29"/>
      <c r="E503" s="29"/>
      <c r="F503" s="29"/>
      <c r="G503" s="29"/>
      <c r="H503" s="29"/>
      <c r="I503" s="36"/>
      <c r="J503" s="37"/>
    </row>
    <row r="504" spans="1:10" x14ac:dyDescent="0.3">
      <c r="A504" s="50"/>
      <c r="B504" s="28"/>
      <c r="C504" s="28"/>
      <c r="D504" s="28"/>
      <c r="E504" s="28"/>
      <c r="F504" s="28"/>
      <c r="G504" s="28"/>
      <c r="H504" s="28"/>
      <c r="I504" s="38"/>
      <c r="J504" s="39"/>
    </row>
    <row r="505" spans="1:10" x14ac:dyDescent="0.3">
      <c r="A505" s="49"/>
      <c r="B505" s="29"/>
      <c r="C505" s="29"/>
      <c r="D505" s="29"/>
      <c r="E505" s="29"/>
      <c r="F505" s="29"/>
      <c r="G505" s="29"/>
      <c r="H505" s="29"/>
      <c r="I505" s="36"/>
      <c r="J505" s="37"/>
    </row>
    <row r="506" spans="1:10" x14ac:dyDescent="0.3">
      <c r="A506" s="50"/>
      <c r="B506" s="28"/>
      <c r="C506" s="28"/>
      <c r="D506" s="28"/>
      <c r="E506" s="28"/>
      <c r="F506" s="28"/>
      <c r="G506" s="28"/>
      <c r="H506" s="28"/>
      <c r="I506" s="38"/>
      <c r="J506" s="39"/>
    </row>
    <row r="507" spans="1:10" x14ac:dyDescent="0.3">
      <c r="A507" s="49"/>
      <c r="B507" s="29"/>
      <c r="C507" s="29"/>
      <c r="D507" s="29"/>
      <c r="E507" s="29"/>
      <c r="F507" s="29"/>
      <c r="G507" s="29"/>
      <c r="H507" s="29"/>
      <c r="I507" s="36"/>
      <c r="J507" s="37"/>
    </row>
    <row r="508" spans="1:10" x14ac:dyDescent="0.3">
      <c r="A508" s="50"/>
      <c r="B508" s="28"/>
      <c r="C508" s="28"/>
      <c r="D508" s="28"/>
      <c r="E508" s="28"/>
      <c r="F508" s="28"/>
      <c r="G508" s="28"/>
      <c r="H508" s="28"/>
      <c r="I508" s="38"/>
      <c r="J508" s="39"/>
    </row>
    <row r="509" spans="1:10" x14ac:dyDescent="0.3">
      <c r="A509" s="49"/>
      <c r="B509" s="29"/>
      <c r="C509" s="29"/>
      <c r="D509" s="29"/>
      <c r="E509" s="29"/>
      <c r="F509" s="29"/>
      <c r="G509" s="29"/>
      <c r="H509" s="29"/>
      <c r="I509" s="36"/>
      <c r="J509" s="37"/>
    </row>
    <row r="510" spans="1:10" x14ac:dyDescent="0.3">
      <c r="A510" s="50"/>
      <c r="B510" s="28"/>
      <c r="C510" s="28"/>
      <c r="D510" s="28"/>
      <c r="E510" s="28"/>
      <c r="F510" s="28"/>
      <c r="G510" s="28"/>
      <c r="H510" s="28"/>
      <c r="I510" s="38"/>
      <c r="J510" s="39"/>
    </row>
    <row r="511" spans="1:10" x14ac:dyDescent="0.3">
      <c r="A511" s="49"/>
      <c r="B511" s="29"/>
      <c r="C511" s="29"/>
      <c r="D511" s="29"/>
      <c r="E511" s="29"/>
      <c r="F511" s="29"/>
      <c r="G511" s="29"/>
      <c r="H511" s="29"/>
      <c r="I511" s="36"/>
      <c r="J511" s="37"/>
    </row>
    <row r="512" spans="1:10" x14ac:dyDescent="0.3">
      <c r="A512" s="50"/>
      <c r="B512" s="28"/>
      <c r="C512" s="28"/>
      <c r="D512" s="28"/>
      <c r="E512" s="28"/>
      <c r="F512" s="28"/>
      <c r="G512" s="28"/>
      <c r="H512" s="28"/>
      <c r="I512" s="38"/>
      <c r="J512" s="39"/>
    </row>
    <row r="513" spans="1:10" x14ac:dyDescent="0.3">
      <c r="A513" s="49"/>
      <c r="B513" s="29"/>
      <c r="C513" s="29"/>
      <c r="D513" s="29"/>
      <c r="E513" s="29"/>
      <c r="F513" s="29"/>
      <c r="G513" s="29"/>
      <c r="H513" s="29"/>
      <c r="I513" s="36"/>
      <c r="J513" s="37"/>
    </row>
    <row r="514" spans="1:10" x14ac:dyDescent="0.3">
      <c r="A514" s="50"/>
      <c r="B514" s="28"/>
      <c r="C514" s="28"/>
      <c r="D514" s="28"/>
      <c r="E514" s="28"/>
      <c r="F514" s="28"/>
      <c r="G514" s="28"/>
      <c r="H514" s="28"/>
      <c r="I514" s="38"/>
      <c r="J514" s="39"/>
    </row>
    <row r="515" spans="1:10" x14ac:dyDescent="0.3">
      <c r="A515" s="49"/>
      <c r="B515" s="29"/>
      <c r="C515" s="29"/>
      <c r="D515" s="29"/>
      <c r="E515" s="29"/>
      <c r="F515" s="29"/>
      <c r="G515" s="29"/>
      <c r="H515" s="29"/>
      <c r="I515" s="36"/>
      <c r="J515" s="37"/>
    </row>
    <row r="516" spans="1:10" x14ac:dyDescent="0.3">
      <c r="A516" s="50"/>
      <c r="B516" s="28"/>
      <c r="C516" s="28"/>
      <c r="D516" s="28"/>
      <c r="E516" s="28"/>
      <c r="F516" s="28"/>
      <c r="G516" s="28"/>
      <c r="H516" s="28"/>
      <c r="I516" s="38"/>
      <c r="J516" s="39"/>
    </row>
    <row r="517" spans="1:10" x14ac:dyDescent="0.3">
      <c r="A517" s="49"/>
      <c r="B517" s="29"/>
      <c r="C517" s="29"/>
      <c r="D517" s="29"/>
      <c r="E517" s="29"/>
      <c r="F517" s="29"/>
      <c r="G517" s="29"/>
      <c r="H517" s="29"/>
      <c r="I517" s="36"/>
      <c r="J517" s="37"/>
    </row>
    <row r="518" spans="1:10" x14ac:dyDescent="0.3">
      <c r="A518" s="50"/>
      <c r="B518" s="28"/>
      <c r="C518" s="28"/>
      <c r="D518" s="28"/>
      <c r="E518" s="28"/>
      <c r="F518" s="28"/>
      <c r="G518" s="28"/>
      <c r="H518" s="28"/>
      <c r="I518" s="38"/>
      <c r="J518" s="39"/>
    </row>
    <row r="519" spans="1:10" x14ac:dyDescent="0.3">
      <c r="A519" s="49"/>
      <c r="B519" s="29"/>
      <c r="C519" s="29"/>
      <c r="D519" s="29"/>
      <c r="E519" s="29"/>
      <c r="F519" s="29"/>
      <c r="G519" s="29"/>
      <c r="H519" s="29"/>
      <c r="I519" s="36"/>
      <c r="J519" s="37"/>
    </row>
    <row r="520" spans="1:10" x14ac:dyDescent="0.3">
      <c r="A520" s="50"/>
      <c r="B520" s="28"/>
      <c r="C520" s="28"/>
      <c r="D520" s="28"/>
      <c r="E520" s="28"/>
      <c r="F520" s="28"/>
      <c r="G520" s="28"/>
      <c r="H520" s="28"/>
      <c r="I520" s="38"/>
      <c r="J520" s="39"/>
    </row>
    <row r="521" spans="1:10" x14ac:dyDescent="0.3">
      <c r="A521" s="49"/>
      <c r="B521" s="29"/>
      <c r="C521" s="29"/>
      <c r="D521" s="29"/>
      <c r="E521" s="29"/>
      <c r="F521" s="29"/>
      <c r="G521" s="29"/>
      <c r="H521" s="29"/>
      <c r="I521" s="36"/>
      <c r="J521" s="37"/>
    </row>
    <row r="522" spans="1:10" x14ac:dyDescent="0.3">
      <c r="A522" s="50"/>
      <c r="B522" s="28"/>
      <c r="C522" s="28"/>
      <c r="D522" s="28"/>
      <c r="E522" s="28"/>
      <c r="F522" s="28"/>
      <c r="G522" s="28"/>
      <c r="H522" s="28"/>
      <c r="I522" s="38"/>
      <c r="J522" s="39"/>
    </row>
    <row r="523" spans="1:10" x14ac:dyDescent="0.3">
      <c r="A523" s="49"/>
      <c r="B523" s="29"/>
      <c r="C523" s="29"/>
      <c r="D523" s="29"/>
      <c r="E523" s="29"/>
      <c r="F523" s="29"/>
      <c r="G523" s="29"/>
      <c r="H523" s="29"/>
      <c r="I523" s="36"/>
      <c r="J523" s="37"/>
    </row>
    <row r="524" spans="1:10" x14ac:dyDescent="0.3">
      <c r="A524" s="50"/>
      <c r="B524" s="28"/>
      <c r="C524" s="28"/>
      <c r="D524" s="28"/>
      <c r="E524" s="28"/>
      <c r="F524" s="28"/>
      <c r="G524" s="28"/>
      <c r="H524" s="28"/>
      <c r="I524" s="38"/>
      <c r="J524" s="39"/>
    </row>
    <row r="525" spans="1:10" x14ac:dyDescent="0.3">
      <c r="A525" s="49"/>
      <c r="B525" s="29"/>
      <c r="C525" s="29"/>
      <c r="D525" s="29"/>
      <c r="E525" s="29"/>
      <c r="F525" s="29"/>
      <c r="G525" s="29"/>
      <c r="H525" s="29"/>
      <c r="I525" s="36"/>
      <c r="J525" s="37"/>
    </row>
    <row r="526" spans="1:10" x14ac:dyDescent="0.3">
      <c r="A526" s="50"/>
      <c r="B526" s="28"/>
      <c r="C526" s="28"/>
      <c r="D526" s="28"/>
      <c r="E526" s="28"/>
      <c r="F526" s="28"/>
      <c r="G526" s="28"/>
      <c r="H526" s="28"/>
      <c r="I526" s="38"/>
      <c r="J526" s="39"/>
    </row>
    <row r="527" spans="1:10" x14ac:dyDescent="0.3">
      <c r="A527" s="49"/>
      <c r="B527" s="29"/>
      <c r="C527" s="29"/>
      <c r="D527" s="29"/>
      <c r="E527" s="29"/>
      <c r="F527" s="29"/>
      <c r="G527" s="29"/>
      <c r="H527" s="29"/>
      <c r="I527" s="36"/>
      <c r="J527" s="37"/>
    </row>
    <row r="528" spans="1:10" x14ac:dyDescent="0.3">
      <c r="A528" s="50"/>
      <c r="B528" s="28"/>
      <c r="C528" s="28"/>
      <c r="D528" s="28"/>
      <c r="E528" s="28"/>
      <c r="F528" s="28"/>
      <c r="G528" s="28"/>
      <c r="H528" s="28"/>
      <c r="I528" s="38"/>
      <c r="J528" s="39"/>
    </row>
    <row r="529" spans="1:10" x14ac:dyDescent="0.3">
      <c r="A529" s="49"/>
      <c r="B529" s="29"/>
      <c r="C529" s="29"/>
      <c r="D529" s="29"/>
      <c r="E529" s="29"/>
      <c r="F529" s="29"/>
      <c r="G529" s="29"/>
      <c r="H529" s="29"/>
      <c r="I529" s="36"/>
      <c r="J529" s="37"/>
    </row>
    <row r="530" spans="1:10" x14ac:dyDescent="0.3">
      <c r="A530" s="50"/>
      <c r="B530" s="28"/>
      <c r="C530" s="28"/>
      <c r="D530" s="28"/>
      <c r="E530" s="28"/>
      <c r="F530" s="28"/>
      <c r="G530" s="28"/>
      <c r="H530" s="28"/>
      <c r="I530" s="38"/>
      <c r="J530" s="39"/>
    </row>
    <row r="531" spans="1:10" x14ac:dyDescent="0.3">
      <c r="A531" s="49"/>
      <c r="B531" s="29"/>
      <c r="C531" s="29"/>
      <c r="D531" s="29"/>
      <c r="E531" s="29"/>
      <c r="F531" s="29"/>
      <c r="G531" s="29"/>
      <c r="H531" s="29"/>
      <c r="I531" s="36"/>
      <c r="J531" s="37"/>
    </row>
    <row r="532" spans="1:10" x14ac:dyDescent="0.3">
      <c r="A532" s="50"/>
      <c r="B532" s="28"/>
      <c r="C532" s="28"/>
      <c r="D532" s="28"/>
      <c r="E532" s="28"/>
      <c r="F532" s="28"/>
      <c r="G532" s="28"/>
      <c r="H532" s="28"/>
      <c r="I532" s="38"/>
      <c r="J532" s="39"/>
    </row>
    <row r="533" spans="1:10" x14ac:dyDescent="0.3">
      <c r="A533" s="49"/>
      <c r="B533" s="29"/>
      <c r="C533" s="29"/>
      <c r="D533" s="29"/>
      <c r="E533" s="29"/>
      <c r="F533" s="29"/>
      <c r="G533" s="29"/>
      <c r="H533" s="29"/>
      <c r="I533" s="36"/>
      <c r="J533" s="37"/>
    </row>
    <row r="534" spans="1:10" x14ac:dyDescent="0.3">
      <c r="A534" s="50"/>
      <c r="B534" s="28"/>
      <c r="C534" s="28"/>
      <c r="D534" s="28"/>
      <c r="E534" s="28"/>
      <c r="F534" s="28"/>
      <c r="G534" s="28"/>
      <c r="H534" s="28"/>
      <c r="I534" s="38"/>
      <c r="J534" s="39"/>
    </row>
    <row r="535" spans="1:10" x14ac:dyDescent="0.3">
      <c r="A535" s="49"/>
      <c r="B535" s="29"/>
      <c r="C535" s="29"/>
      <c r="D535" s="29"/>
      <c r="E535" s="29"/>
      <c r="F535" s="29"/>
      <c r="G535" s="29"/>
      <c r="H535" s="29"/>
      <c r="I535" s="36"/>
      <c r="J535" s="37"/>
    </row>
    <row r="536" spans="1:10" x14ac:dyDescent="0.3">
      <c r="A536" s="50"/>
      <c r="B536" s="28"/>
      <c r="C536" s="28"/>
      <c r="D536" s="28"/>
      <c r="E536" s="28"/>
      <c r="F536" s="28"/>
      <c r="G536" s="28"/>
      <c r="H536" s="28"/>
      <c r="I536" s="38"/>
      <c r="J536" s="39"/>
    </row>
    <row r="537" spans="1:10" x14ac:dyDescent="0.3">
      <c r="A537" s="49"/>
      <c r="B537" s="29"/>
      <c r="C537" s="29"/>
      <c r="D537" s="29"/>
      <c r="E537" s="29"/>
      <c r="F537" s="29"/>
      <c r="G537" s="29"/>
      <c r="H537" s="29"/>
      <c r="I537" s="36"/>
      <c r="J537" s="37"/>
    </row>
    <row r="538" spans="1:10" x14ac:dyDescent="0.3">
      <c r="A538" s="50"/>
      <c r="B538" s="28"/>
      <c r="C538" s="28"/>
      <c r="D538" s="28"/>
      <c r="E538" s="28"/>
      <c r="F538" s="28"/>
      <c r="G538" s="28"/>
      <c r="H538" s="28"/>
      <c r="I538" s="38"/>
      <c r="J538" s="39"/>
    </row>
    <row r="539" spans="1:10" x14ac:dyDescent="0.3">
      <c r="A539" s="49"/>
      <c r="B539" s="29"/>
      <c r="C539" s="29"/>
      <c r="D539" s="29"/>
      <c r="E539" s="29"/>
      <c r="F539" s="29"/>
      <c r="G539" s="29"/>
      <c r="H539" s="29"/>
      <c r="I539" s="36"/>
      <c r="J539" s="37"/>
    </row>
    <row r="540" spans="1:10" x14ac:dyDescent="0.3">
      <c r="A540" s="50"/>
      <c r="B540" s="28"/>
      <c r="C540" s="28"/>
      <c r="D540" s="28"/>
      <c r="E540" s="28"/>
      <c r="F540" s="28"/>
      <c r="G540" s="28"/>
      <c r="H540" s="28"/>
      <c r="I540" s="38"/>
      <c r="J540" s="39"/>
    </row>
    <row r="541" spans="1:10" x14ac:dyDescent="0.3">
      <c r="A541" s="49"/>
      <c r="B541" s="29"/>
      <c r="C541" s="29"/>
      <c r="D541" s="29"/>
      <c r="E541" s="29"/>
      <c r="F541" s="29"/>
      <c r="G541" s="29"/>
      <c r="H541" s="29"/>
      <c r="I541" s="36"/>
      <c r="J541" s="37"/>
    </row>
    <row r="542" spans="1:10" x14ac:dyDescent="0.3">
      <c r="A542" s="50"/>
      <c r="B542" s="28"/>
      <c r="C542" s="28"/>
      <c r="D542" s="28"/>
      <c r="E542" s="28"/>
      <c r="F542" s="28"/>
      <c r="G542" s="28"/>
      <c r="H542" s="28"/>
      <c r="I542" s="38"/>
      <c r="J542" s="39"/>
    </row>
    <row r="543" spans="1:10" x14ac:dyDescent="0.3">
      <c r="A543" s="49"/>
      <c r="B543" s="29"/>
      <c r="C543" s="29"/>
      <c r="D543" s="29"/>
      <c r="E543" s="29"/>
      <c r="F543" s="29"/>
      <c r="G543" s="29"/>
      <c r="H543" s="29"/>
      <c r="I543" s="36"/>
      <c r="J543" s="37"/>
    </row>
    <row r="544" spans="1:10" x14ac:dyDescent="0.3">
      <c r="A544" s="50"/>
      <c r="B544" s="28"/>
      <c r="C544" s="28"/>
      <c r="D544" s="28"/>
      <c r="E544" s="28"/>
      <c r="F544" s="28"/>
      <c r="G544" s="28"/>
      <c r="H544" s="28"/>
      <c r="I544" s="38"/>
      <c r="J544" s="39"/>
    </row>
    <row r="545" spans="1:10" x14ac:dyDescent="0.3">
      <c r="A545" s="49"/>
      <c r="B545" s="29"/>
      <c r="C545" s="29"/>
      <c r="D545" s="29"/>
      <c r="E545" s="29"/>
      <c r="F545" s="29"/>
      <c r="G545" s="29"/>
      <c r="H545" s="29"/>
      <c r="I545" s="36"/>
      <c r="J545" s="37"/>
    </row>
    <row r="546" spans="1:10" x14ac:dyDescent="0.3">
      <c r="A546" s="50"/>
      <c r="B546" s="28"/>
      <c r="C546" s="28"/>
      <c r="D546" s="28"/>
      <c r="E546" s="28"/>
      <c r="F546" s="28"/>
      <c r="G546" s="28"/>
      <c r="H546" s="28"/>
      <c r="I546" s="38"/>
      <c r="J546" s="39"/>
    </row>
    <row r="547" spans="1:10" x14ac:dyDescent="0.3">
      <c r="A547" s="49"/>
      <c r="B547" s="29"/>
      <c r="C547" s="29"/>
      <c r="D547" s="29"/>
      <c r="E547" s="29"/>
      <c r="F547" s="29"/>
      <c r="G547" s="29"/>
      <c r="H547" s="29"/>
      <c r="I547" s="36"/>
      <c r="J547" s="37"/>
    </row>
    <row r="548" spans="1:10" x14ac:dyDescent="0.3">
      <c r="A548" s="50"/>
      <c r="B548" s="28"/>
      <c r="C548" s="28"/>
      <c r="D548" s="28"/>
      <c r="E548" s="28"/>
      <c r="F548" s="28"/>
      <c r="G548" s="28"/>
      <c r="H548" s="28"/>
      <c r="I548" s="38"/>
      <c r="J548" s="39"/>
    </row>
    <row r="549" spans="1:10" x14ac:dyDescent="0.3">
      <c r="A549" s="49"/>
      <c r="B549" s="29"/>
      <c r="C549" s="29"/>
      <c r="D549" s="29"/>
      <c r="E549" s="29"/>
      <c r="F549" s="29"/>
      <c r="G549" s="29"/>
      <c r="H549" s="29"/>
      <c r="I549" s="36"/>
      <c r="J549" s="37"/>
    </row>
    <row r="550" spans="1:10" x14ac:dyDescent="0.3">
      <c r="A550" s="50"/>
      <c r="B550" s="28"/>
      <c r="C550" s="28"/>
      <c r="D550" s="28"/>
      <c r="E550" s="28"/>
      <c r="F550" s="28"/>
      <c r="G550" s="28"/>
      <c r="H550" s="28"/>
      <c r="I550" s="38"/>
      <c r="J550" s="39"/>
    </row>
    <row r="551" spans="1:10" x14ac:dyDescent="0.3">
      <c r="A551" s="49"/>
      <c r="B551" s="29"/>
      <c r="C551" s="29"/>
      <c r="D551" s="29"/>
      <c r="E551" s="29"/>
      <c r="F551" s="29"/>
      <c r="G551" s="29"/>
      <c r="H551" s="29"/>
      <c r="I551" s="36"/>
      <c r="J551" s="37"/>
    </row>
    <row r="552" spans="1:10" x14ac:dyDescent="0.3">
      <c r="A552" s="50"/>
      <c r="B552" s="28"/>
      <c r="C552" s="28"/>
      <c r="D552" s="28"/>
      <c r="E552" s="28"/>
      <c r="F552" s="28"/>
      <c r="G552" s="28"/>
      <c r="H552" s="28"/>
      <c r="I552" s="38"/>
      <c r="J552" s="39"/>
    </row>
    <row r="553" spans="1:10" x14ac:dyDescent="0.3">
      <c r="A553" s="49"/>
      <c r="B553" s="29"/>
      <c r="C553" s="29"/>
      <c r="D553" s="29"/>
      <c r="E553" s="29"/>
      <c r="F553" s="29"/>
      <c r="G553" s="29"/>
      <c r="H553" s="29"/>
      <c r="I553" s="36"/>
      <c r="J553" s="37"/>
    </row>
    <row r="554" spans="1:10" x14ac:dyDescent="0.3">
      <c r="A554" s="50"/>
      <c r="B554" s="28"/>
      <c r="C554" s="28"/>
      <c r="D554" s="28"/>
      <c r="E554" s="28"/>
      <c r="F554" s="28"/>
      <c r="G554" s="28"/>
      <c r="H554" s="28"/>
      <c r="I554" s="38"/>
      <c r="J554" s="39"/>
    </row>
    <row r="555" spans="1:10" x14ac:dyDescent="0.3">
      <c r="A555" s="49"/>
      <c r="B555" s="29"/>
      <c r="C555" s="29"/>
      <c r="D555" s="29"/>
      <c r="E555" s="29"/>
      <c r="F555" s="29"/>
      <c r="G555" s="29"/>
      <c r="H555" s="29"/>
      <c r="I555" s="36"/>
      <c r="J555" s="37"/>
    </row>
    <row r="556" spans="1:10" x14ac:dyDescent="0.3">
      <c r="A556" s="50"/>
      <c r="B556" s="28"/>
      <c r="C556" s="28"/>
      <c r="D556" s="28"/>
      <c r="E556" s="28"/>
      <c r="F556" s="28"/>
      <c r="G556" s="28"/>
      <c r="H556" s="28"/>
      <c r="I556" s="38"/>
      <c r="J556" s="39"/>
    </row>
    <row r="557" spans="1:10" x14ac:dyDescent="0.3">
      <c r="A557" s="49"/>
      <c r="B557" s="29"/>
      <c r="C557" s="29"/>
      <c r="D557" s="29"/>
      <c r="E557" s="29"/>
      <c r="F557" s="29"/>
      <c r="G557" s="29"/>
      <c r="H557" s="29"/>
      <c r="I557" s="36"/>
      <c r="J557" s="37"/>
    </row>
    <row r="558" spans="1:10" x14ac:dyDescent="0.3">
      <c r="A558" s="50"/>
      <c r="B558" s="28"/>
      <c r="C558" s="28"/>
      <c r="D558" s="28"/>
      <c r="E558" s="28"/>
      <c r="F558" s="28"/>
      <c r="G558" s="28"/>
      <c r="H558" s="28"/>
      <c r="I558" s="38"/>
      <c r="J558" s="39"/>
    </row>
    <row r="559" spans="1:10" x14ac:dyDescent="0.3">
      <c r="A559" s="49"/>
      <c r="B559" s="29"/>
      <c r="C559" s="29"/>
      <c r="D559" s="29"/>
      <c r="E559" s="29"/>
      <c r="F559" s="29"/>
      <c r="G559" s="29"/>
      <c r="H559" s="29"/>
      <c r="I559" s="36"/>
      <c r="J559" s="37"/>
    </row>
    <row r="560" spans="1:10" x14ac:dyDescent="0.3">
      <c r="A560" s="50"/>
      <c r="B560" s="28"/>
      <c r="C560" s="28"/>
      <c r="D560" s="28"/>
      <c r="E560" s="28"/>
      <c r="F560" s="28"/>
      <c r="G560" s="28"/>
      <c r="H560" s="28"/>
      <c r="I560" s="38"/>
      <c r="J560" s="39"/>
    </row>
    <row r="561" spans="1:10" x14ac:dyDescent="0.3">
      <c r="A561" s="49"/>
      <c r="B561" s="29"/>
      <c r="C561" s="29"/>
      <c r="D561" s="29"/>
      <c r="E561" s="29"/>
      <c r="F561" s="29"/>
      <c r="G561" s="29"/>
      <c r="H561" s="29"/>
      <c r="I561" s="36"/>
      <c r="J561" s="37"/>
    </row>
    <row r="562" spans="1:10" x14ac:dyDescent="0.3">
      <c r="A562" s="50"/>
      <c r="B562" s="28"/>
      <c r="C562" s="28"/>
      <c r="D562" s="28"/>
      <c r="E562" s="28"/>
      <c r="F562" s="28"/>
      <c r="G562" s="28"/>
      <c r="H562" s="28"/>
      <c r="I562" s="38"/>
      <c r="J562" s="39"/>
    </row>
    <row r="563" spans="1:10" x14ac:dyDescent="0.3">
      <c r="A563" s="49"/>
      <c r="B563" s="29"/>
      <c r="C563" s="29"/>
      <c r="D563" s="29"/>
      <c r="E563" s="29"/>
      <c r="F563" s="29"/>
      <c r="G563" s="29"/>
      <c r="H563" s="29"/>
      <c r="I563" s="36"/>
      <c r="J563" s="37"/>
    </row>
    <row r="564" spans="1:10" x14ac:dyDescent="0.3">
      <c r="A564" s="50"/>
      <c r="B564" s="28"/>
      <c r="C564" s="28"/>
      <c r="D564" s="28"/>
      <c r="E564" s="28"/>
      <c r="F564" s="28"/>
      <c r="G564" s="28"/>
      <c r="H564" s="28"/>
      <c r="I564" s="38"/>
      <c r="J564" s="39"/>
    </row>
    <row r="565" spans="1:10" x14ac:dyDescent="0.3">
      <c r="A565" s="49"/>
      <c r="B565" s="29"/>
      <c r="C565" s="29"/>
      <c r="D565" s="29"/>
      <c r="E565" s="29"/>
      <c r="F565" s="29"/>
      <c r="G565" s="29"/>
      <c r="H565" s="29"/>
      <c r="I565" s="36"/>
      <c r="J565" s="37"/>
    </row>
    <row r="566" spans="1:10" x14ac:dyDescent="0.3">
      <c r="A566" s="50"/>
      <c r="B566" s="28"/>
      <c r="C566" s="28"/>
      <c r="D566" s="28"/>
      <c r="E566" s="28"/>
      <c r="F566" s="28"/>
      <c r="G566" s="28"/>
      <c r="H566" s="28"/>
      <c r="I566" s="38"/>
      <c r="J566" s="39"/>
    </row>
    <row r="567" spans="1:10" x14ac:dyDescent="0.3">
      <c r="A567" s="49"/>
      <c r="B567" s="29"/>
      <c r="C567" s="29"/>
      <c r="D567" s="29"/>
      <c r="E567" s="29"/>
      <c r="F567" s="29"/>
      <c r="G567" s="29"/>
      <c r="H567" s="29"/>
      <c r="I567" s="36"/>
      <c r="J567" s="37"/>
    </row>
    <row r="568" spans="1:10" x14ac:dyDescent="0.3">
      <c r="A568" s="50"/>
      <c r="B568" s="28"/>
      <c r="C568" s="28"/>
      <c r="D568" s="28"/>
      <c r="E568" s="28"/>
      <c r="F568" s="28"/>
      <c r="G568" s="28"/>
      <c r="H568" s="28"/>
      <c r="I568" s="38"/>
      <c r="J568" s="39"/>
    </row>
    <row r="569" spans="1:10" x14ac:dyDescent="0.3">
      <c r="A569" s="49"/>
      <c r="B569" s="29"/>
      <c r="C569" s="29"/>
      <c r="D569" s="29"/>
      <c r="E569" s="29"/>
      <c r="F569" s="29"/>
      <c r="G569" s="29"/>
      <c r="H569" s="29"/>
      <c r="I569" s="36"/>
      <c r="J569" s="37"/>
    </row>
    <row r="570" spans="1:10" x14ac:dyDescent="0.3">
      <c r="A570" s="50"/>
      <c r="B570" s="28"/>
      <c r="C570" s="28"/>
      <c r="D570" s="28"/>
      <c r="E570" s="28"/>
      <c r="F570" s="28"/>
      <c r="G570" s="28"/>
      <c r="H570" s="28"/>
      <c r="I570" s="38"/>
      <c r="J570" s="39"/>
    </row>
    <row r="571" spans="1:10" x14ac:dyDescent="0.3">
      <c r="A571" s="49"/>
      <c r="B571" s="29"/>
      <c r="C571" s="29"/>
      <c r="D571" s="29"/>
      <c r="E571" s="29"/>
      <c r="F571" s="29"/>
      <c r="G571" s="29"/>
      <c r="H571" s="29"/>
      <c r="I571" s="36"/>
      <c r="J571" s="37"/>
    </row>
    <row r="572" spans="1:10" x14ac:dyDescent="0.3">
      <c r="A572" s="50"/>
      <c r="B572" s="28"/>
      <c r="C572" s="28"/>
      <c r="D572" s="28"/>
      <c r="E572" s="28"/>
      <c r="F572" s="28"/>
      <c r="G572" s="28"/>
      <c r="H572" s="28"/>
      <c r="I572" s="38"/>
      <c r="J572" s="39"/>
    </row>
    <row r="573" spans="1:10" x14ac:dyDescent="0.3">
      <c r="A573" s="49"/>
      <c r="B573" s="29"/>
      <c r="C573" s="29"/>
      <c r="D573" s="29"/>
      <c r="E573" s="29"/>
      <c r="F573" s="29"/>
      <c r="G573" s="29"/>
      <c r="H573" s="29"/>
      <c r="I573" s="36"/>
      <c r="J573" s="37"/>
    </row>
    <row r="574" spans="1:10" x14ac:dyDescent="0.3">
      <c r="A574" s="50"/>
      <c r="B574" s="28"/>
      <c r="C574" s="28"/>
      <c r="D574" s="28"/>
      <c r="E574" s="28"/>
      <c r="F574" s="28"/>
      <c r="G574" s="28"/>
      <c r="H574" s="28"/>
      <c r="I574" s="38"/>
      <c r="J574" s="39"/>
    </row>
    <row r="575" spans="1:10" x14ac:dyDescent="0.3">
      <c r="A575" s="49"/>
      <c r="B575" s="29"/>
      <c r="C575" s="29"/>
      <c r="D575" s="29"/>
      <c r="E575" s="29"/>
      <c r="F575" s="29"/>
      <c r="G575" s="29"/>
      <c r="H575" s="29"/>
      <c r="I575" s="36"/>
      <c r="J575" s="37"/>
    </row>
    <row r="576" spans="1:10" x14ac:dyDescent="0.3">
      <c r="A576" s="50"/>
      <c r="B576" s="28"/>
      <c r="C576" s="28"/>
      <c r="D576" s="28"/>
      <c r="E576" s="28"/>
      <c r="F576" s="28"/>
      <c r="G576" s="28"/>
      <c r="H576" s="28"/>
      <c r="I576" s="38"/>
      <c r="J576" s="39"/>
    </row>
    <row r="577" spans="1:10" x14ac:dyDescent="0.3">
      <c r="A577" s="49"/>
      <c r="B577" s="29"/>
      <c r="C577" s="29"/>
      <c r="D577" s="29"/>
      <c r="E577" s="29"/>
      <c r="F577" s="29"/>
      <c r="G577" s="29"/>
      <c r="H577" s="29"/>
      <c r="I577" s="36"/>
      <c r="J577" s="37"/>
    </row>
    <row r="578" spans="1:10" x14ac:dyDescent="0.3">
      <c r="A578" s="50"/>
      <c r="B578" s="28"/>
      <c r="C578" s="28"/>
      <c r="D578" s="28"/>
      <c r="E578" s="28"/>
      <c r="F578" s="28"/>
      <c r="G578" s="28"/>
      <c r="H578" s="28"/>
      <c r="I578" s="38"/>
      <c r="J578" s="39"/>
    </row>
    <row r="579" spans="1:10" x14ac:dyDescent="0.3">
      <c r="A579" s="49"/>
      <c r="B579" s="29"/>
      <c r="C579" s="29"/>
      <c r="D579" s="29"/>
      <c r="E579" s="29"/>
      <c r="F579" s="29"/>
      <c r="G579" s="29"/>
      <c r="H579" s="29"/>
      <c r="I579" s="36"/>
      <c r="J579" s="37"/>
    </row>
    <row r="580" spans="1:10" x14ac:dyDescent="0.3">
      <c r="A580" s="50"/>
      <c r="B580" s="28"/>
      <c r="C580" s="28"/>
      <c r="D580" s="28"/>
      <c r="E580" s="28"/>
      <c r="F580" s="28"/>
      <c r="G580" s="28"/>
      <c r="H580" s="28"/>
      <c r="I580" s="38"/>
      <c r="J580" s="39"/>
    </row>
    <row r="581" spans="1:10" x14ac:dyDescent="0.3">
      <c r="A581" s="49"/>
      <c r="B581" s="29"/>
      <c r="C581" s="29"/>
      <c r="D581" s="29"/>
      <c r="E581" s="29"/>
      <c r="F581" s="29"/>
      <c r="G581" s="29"/>
      <c r="H581" s="29"/>
      <c r="I581" s="36"/>
      <c r="J581" s="37"/>
    </row>
    <row r="582" spans="1:10" x14ac:dyDescent="0.3">
      <c r="A582" s="50"/>
      <c r="B582" s="28"/>
      <c r="C582" s="28"/>
      <c r="D582" s="28"/>
      <c r="E582" s="28"/>
      <c r="F582" s="28"/>
      <c r="G582" s="28"/>
      <c r="H582" s="28"/>
      <c r="I582" s="38"/>
      <c r="J582" s="39"/>
    </row>
    <row r="583" spans="1:10" x14ac:dyDescent="0.3">
      <c r="A583" s="49"/>
      <c r="B583" s="29"/>
      <c r="C583" s="29"/>
      <c r="D583" s="29"/>
      <c r="E583" s="29"/>
      <c r="F583" s="29"/>
      <c r="G583" s="29"/>
      <c r="H583" s="29"/>
      <c r="I583" s="36"/>
      <c r="J583" s="37"/>
    </row>
    <row r="584" spans="1:10" x14ac:dyDescent="0.3">
      <c r="A584" s="50"/>
      <c r="B584" s="28"/>
      <c r="C584" s="28"/>
      <c r="D584" s="28"/>
      <c r="E584" s="28"/>
      <c r="F584" s="28"/>
      <c r="G584" s="28"/>
      <c r="H584" s="28"/>
      <c r="I584" s="38"/>
      <c r="J584" s="39"/>
    </row>
    <row r="585" spans="1:10" x14ac:dyDescent="0.3">
      <c r="A585" s="49"/>
      <c r="B585" s="29"/>
      <c r="C585" s="29"/>
      <c r="D585" s="29"/>
      <c r="E585" s="29"/>
      <c r="F585" s="29"/>
      <c r="G585" s="29"/>
      <c r="H585" s="29"/>
      <c r="I585" s="36"/>
      <c r="J585" s="37"/>
    </row>
    <row r="586" spans="1:10" x14ac:dyDescent="0.3">
      <c r="A586" s="50"/>
      <c r="B586" s="28"/>
      <c r="C586" s="28"/>
      <c r="D586" s="28"/>
      <c r="E586" s="28"/>
      <c r="F586" s="28"/>
      <c r="G586" s="28"/>
      <c r="H586" s="28"/>
      <c r="I586" s="38"/>
      <c r="J586" s="39"/>
    </row>
    <row r="587" spans="1:10" x14ac:dyDescent="0.3">
      <c r="A587" s="49"/>
      <c r="B587" s="29"/>
      <c r="C587" s="29"/>
      <c r="D587" s="29"/>
      <c r="E587" s="29"/>
      <c r="F587" s="29"/>
      <c r="G587" s="29"/>
      <c r="H587" s="29"/>
      <c r="I587" s="36"/>
      <c r="J587" s="37"/>
    </row>
    <row r="588" spans="1:10" x14ac:dyDescent="0.3">
      <c r="A588" s="50"/>
      <c r="B588" s="28"/>
      <c r="C588" s="28"/>
      <c r="D588" s="28"/>
      <c r="E588" s="28"/>
      <c r="F588" s="28"/>
      <c r="G588" s="28"/>
      <c r="H588" s="28"/>
      <c r="I588" s="38"/>
      <c r="J588" s="39"/>
    </row>
    <row r="589" spans="1:10" x14ac:dyDescent="0.3">
      <c r="A589" s="49"/>
      <c r="B589" s="29"/>
      <c r="C589" s="29"/>
      <c r="D589" s="29"/>
      <c r="E589" s="29"/>
      <c r="F589" s="29"/>
      <c r="G589" s="29"/>
      <c r="H589" s="29"/>
      <c r="I589" s="36"/>
      <c r="J589" s="37"/>
    </row>
    <row r="590" spans="1:10" x14ac:dyDescent="0.3">
      <c r="A590" s="50"/>
      <c r="B590" s="28"/>
      <c r="C590" s="28"/>
      <c r="D590" s="28"/>
      <c r="E590" s="28"/>
      <c r="F590" s="28"/>
      <c r="G590" s="28"/>
      <c r="H590" s="28"/>
      <c r="I590" s="38"/>
      <c r="J590" s="39"/>
    </row>
    <row r="591" spans="1:10" x14ac:dyDescent="0.3">
      <c r="A591" s="49"/>
      <c r="B591" s="29"/>
      <c r="C591" s="29"/>
      <c r="D591" s="29"/>
      <c r="E591" s="29"/>
      <c r="F591" s="29"/>
      <c r="G591" s="29"/>
      <c r="H591" s="29"/>
      <c r="I591" s="36"/>
      <c r="J591" s="37"/>
    </row>
    <row r="592" spans="1:10" x14ac:dyDescent="0.3">
      <c r="A592" s="50"/>
      <c r="B592" s="28"/>
      <c r="C592" s="28"/>
      <c r="D592" s="28"/>
      <c r="E592" s="28"/>
      <c r="F592" s="28"/>
      <c r="G592" s="28"/>
      <c r="H592" s="28"/>
      <c r="I592" s="38"/>
      <c r="J592" s="39"/>
    </row>
    <row r="593" spans="1:10" x14ac:dyDescent="0.3">
      <c r="A593" s="49"/>
      <c r="B593" s="29"/>
      <c r="C593" s="29"/>
      <c r="D593" s="29"/>
      <c r="E593" s="29"/>
      <c r="F593" s="29"/>
      <c r="G593" s="29"/>
      <c r="H593" s="29"/>
      <c r="I593" s="36"/>
      <c r="J593" s="37"/>
    </row>
    <row r="594" spans="1:10" x14ac:dyDescent="0.3">
      <c r="A594" s="50"/>
      <c r="B594" s="28"/>
      <c r="C594" s="28"/>
      <c r="D594" s="28"/>
      <c r="E594" s="28"/>
      <c r="F594" s="28"/>
      <c r="G594" s="28"/>
      <c r="H594" s="28"/>
      <c r="I594" s="38"/>
      <c r="J594" s="39"/>
    </row>
    <row r="595" spans="1:10" x14ac:dyDescent="0.3">
      <c r="A595" s="49"/>
      <c r="B595" s="29"/>
      <c r="C595" s="29"/>
      <c r="D595" s="29"/>
      <c r="E595" s="29"/>
      <c r="F595" s="29"/>
      <c r="G595" s="29"/>
      <c r="H595" s="29"/>
      <c r="I595" s="36"/>
      <c r="J595" s="37"/>
    </row>
    <row r="596" spans="1:10" x14ac:dyDescent="0.3">
      <c r="A596" s="50"/>
      <c r="B596" s="28"/>
      <c r="C596" s="28"/>
      <c r="D596" s="28"/>
      <c r="E596" s="28"/>
      <c r="F596" s="28"/>
      <c r="G596" s="28"/>
      <c r="H596" s="28"/>
      <c r="I596" s="38"/>
      <c r="J596" s="39"/>
    </row>
    <row r="597" spans="1:10" x14ac:dyDescent="0.3">
      <c r="A597" s="49"/>
      <c r="B597" s="29"/>
      <c r="C597" s="29"/>
      <c r="D597" s="29"/>
      <c r="E597" s="29"/>
      <c r="F597" s="29"/>
      <c r="G597" s="29"/>
      <c r="H597" s="29"/>
      <c r="I597" s="36"/>
      <c r="J597" s="37"/>
    </row>
    <row r="598" spans="1:10" x14ac:dyDescent="0.3">
      <c r="A598" s="50"/>
      <c r="B598" s="28"/>
      <c r="C598" s="28"/>
      <c r="D598" s="28"/>
      <c r="E598" s="28"/>
      <c r="F598" s="28"/>
      <c r="G598" s="28"/>
      <c r="H598" s="28"/>
      <c r="I598" s="38"/>
      <c r="J598" s="39"/>
    </row>
    <row r="599" spans="1:10" x14ac:dyDescent="0.3">
      <c r="A599" s="49"/>
      <c r="B599" s="29"/>
      <c r="C599" s="29"/>
      <c r="D599" s="29"/>
      <c r="E599" s="29"/>
      <c r="F599" s="29"/>
      <c r="G599" s="29"/>
      <c r="H599" s="29"/>
      <c r="I599" s="36"/>
      <c r="J599" s="37"/>
    </row>
    <row r="600" spans="1:10" x14ac:dyDescent="0.3">
      <c r="A600" s="50"/>
      <c r="B600" s="28"/>
      <c r="C600" s="28"/>
      <c r="D600" s="28"/>
      <c r="E600" s="28"/>
      <c r="F600" s="28"/>
      <c r="G600" s="28"/>
      <c r="H600" s="28"/>
      <c r="I600" s="38"/>
      <c r="J600" s="39"/>
    </row>
    <row r="601" spans="1:10" x14ac:dyDescent="0.3">
      <c r="A601" s="49"/>
      <c r="B601" s="29"/>
      <c r="C601" s="29"/>
      <c r="D601" s="29"/>
      <c r="E601" s="29"/>
      <c r="F601" s="29"/>
      <c r="G601" s="29"/>
      <c r="H601" s="29"/>
      <c r="I601" s="36"/>
      <c r="J601" s="37"/>
    </row>
    <row r="602" spans="1:10" x14ac:dyDescent="0.3">
      <c r="A602" s="50"/>
      <c r="B602" s="28"/>
      <c r="C602" s="28"/>
      <c r="D602" s="28"/>
      <c r="E602" s="28"/>
      <c r="F602" s="28"/>
      <c r="G602" s="28"/>
      <c r="H602" s="28"/>
      <c r="I602" s="38"/>
      <c r="J602" s="39"/>
    </row>
    <row r="603" spans="1:10" x14ac:dyDescent="0.3">
      <c r="A603" s="49"/>
      <c r="B603" s="29"/>
      <c r="C603" s="29"/>
      <c r="D603" s="29"/>
      <c r="E603" s="29"/>
      <c r="F603" s="29"/>
      <c r="G603" s="29"/>
      <c r="H603" s="29"/>
      <c r="I603" s="36"/>
      <c r="J603" s="37"/>
    </row>
    <row r="604" spans="1:10" x14ac:dyDescent="0.3">
      <c r="A604" s="50"/>
      <c r="B604" s="28"/>
      <c r="C604" s="28"/>
      <c r="D604" s="28"/>
      <c r="E604" s="28"/>
      <c r="F604" s="28"/>
      <c r="G604" s="28"/>
      <c r="H604" s="28"/>
      <c r="I604" s="38"/>
      <c r="J604" s="39"/>
    </row>
    <row r="605" spans="1:10" x14ac:dyDescent="0.3">
      <c r="A605" s="49"/>
      <c r="B605" s="29"/>
      <c r="C605" s="29"/>
      <c r="D605" s="29"/>
      <c r="E605" s="29"/>
      <c r="F605" s="29"/>
      <c r="G605" s="29"/>
      <c r="H605" s="29"/>
      <c r="I605" s="36"/>
      <c r="J605" s="37"/>
    </row>
    <row r="606" spans="1:10" x14ac:dyDescent="0.3">
      <c r="A606" s="50"/>
      <c r="B606" s="28"/>
      <c r="C606" s="28"/>
      <c r="D606" s="28"/>
      <c r="E606" s="28"/>
      <c r="F606" s="28"/>
      <c r="G606" s="28"/>
      <c r="H606" s="28"/>
      <c r="I606" s="38"/>
      <c r="J606" s="39"/>
    </row>
    <row r="607" spans="1:10" x14ac:dyDescent="0.3">
      <c r="A607" s="49"/>
      <c r="B607" s="29"/>
      <c r="C607" s="29"/>
      <c r="D607" s="29"/>
      <c r="E607" s="29"/>
      <c r="F607" s="29"/>
      <c r="G607" s="29"/>
      <c r="H607" s="29"/>
      <c r="I607" s="36"/>
      <c r="J607" s="37"/>
    </row>
    <row r="608" spans="1:10" x14ac:dyDescent="0.3">
      <c r="A608" s="50"/>
      <c r="B608" s="28"/>
      <c r="C608" s="28"/>
      <c r="D608" s="28"/>
      <c r="E608" s="28"/>
      <c r="F608" s="28"/>
      <c r="G608" s="28"/>
      <c r="H608" s="28"/>
      <c r="I608" s="38"/>
      <c r="J608" s="39"/>
    </row>
    <row r="609" spans="1:10" x14ac:dyDescent="0.3">
      <c r="A609" s="49"/>
      <c r="B609" s="29"/>
      <c r="C609" s="29"/>
      <c r="D609" s="29"/>
      <c r="E609" s="29"/>
      <c r="F609" s="29"/>
      <c r="G609" s="29"/>
      <c r="H609" s="29"/>
      <c r="I609" s="36"/>
      <c r="J609" s="37"/>
    </row>
    <row r="610" spans="1:10" x14ac:dyDescent="0.3">
      <c r="A610" s="50"/>
      <c r="B610" s="28"/>
      <c r="C610" s="28"/>
      <c r="D610" s="28"/>
      <c r="E610" s="28"/>
      <c r="F610" s="28"/>
      <c r="G610" s="28"/>
      <c r="H610" s="28"/>
      <c r="I610" s="38"/>
      <c r="J610" s="39"/>
    </row>
    <row r="611" spans="1:10" x14ac:dyDescent="0.3">
      <c r="A611" s="49"/>
      <c r="B611" s="29"/>
      <c r="C611" s="29"/>
      <c r="D611" s="29"/>
      <c r="E611" s="29"/>
      <c r="F611" s="29"/>
      <c r="G611" s="29"/>
      <c r="H611" s="29"/>
      <c r="I611" s="36"/>
      <c r="J611" s="37"/>
    </row>
    <row r="612" spans="1:10" x14ac:dyDescent="0.3">
      <c r="A612" s="50"/>
      <c r="B612" s="28"/>
      <c r="C612" s="28"/>
      <c r="D612" s="28"/>
      <c r="E612" s="28"/>
      <c r="F612" s="28"/>
      <c r="G612" s="28"/>
      <c r="H612" s="28"/>
      <c r="I612" s="38"/>
      <c r="J612" s="39"/>
    </row>
    <row r="613" spans="1:10" x14ac:dyDescent="0.3">
      <c r="A613" s="49"/>
      <c r="B613" s="29"/>
      <c r="C613" s="29"/>
      <c r="D613" s="29"/>
      <c r="E613" s="29"/>
      <c r="F613" s="29"/>
      <c r="G613" s="29"/>
      <c r="H613" s="29"/>
      <c r="I613" s="36"/>
      <c r="J613" s="37"/>
    </row>
    <row r="614" spans="1:10" x14ac:dyDescent="0.3">
      <c r="A614" s="50"/>
      <c r="B614" s="28"/>
      <c r="C614" s="28"/>
      <c r="D614" s="28"/>
      <c r="E614" s="28"/>
      <c r="F614" s="28"/>
      <c r="G614" s="28"/>
      <c r="H614" s="28"/>
      <c r="I614" s="38"/>
      <c r="J614" s="39"/>
    </row>
    <row r="615" spans="1:10" x14ac:dyDescent="0.3">
      <c r="A615" s="49"/>
      <c r="B615" s="29"/>
      <c r="C615" s="29"/>
      <c r="D615" s="29"/>
      <c r="E615" s="29"/>
      <c r="F615" s="29"/>
      <c r="G615" s="29"/>
      <c r="H615" s="29"/>
      <c r="I615" s="36"/>
      <c r="J615" s="37"/>
    </row>
    <row r="616" spans="1:10" x14ac:dyDescent="0.3">
      <c r="A616" s="50"/>
      <c r="B616" s="28"/>
      <c r="C616" s="28"/>
      <c r="D616" s="28"/>
      <c r="E616" s="28"/>
      <c r="F616" s="28"/>
      <c r="G616" s="28"/>
      <c r="H616" s="28"/>
      <c r="I616" s="38"/>
      <c r="J616" s="39"/>
    </row>
    <row r="617" spans="1:10" x14ac:dyDescent="0.3">
      <c r="A617" s="49"/>
      <c r="B617" s="29"/>
      <c r="C617" s="29"/>
      <c r="D617" s="29"/>
      <c r="E617" s="29"/>
      <c r="F617" s="29"/>
      <c r="G617" s="29"/>
      <c r="H617" s="29"/>
      <c r="I617" s="36"/>
      <c r="J617" s="37"/>
    </row>
    <row r="618" spans="1:10" x14ac:dyDescent="0.3">
      <c r="A618" s="50"/>
      <c r="B618" s="28"/>
      <c r="C618" s="28"/>
      <c r="D618" s="28"/>
      <c r="E618" s="28"/>
      <c r="F618" s="28"/>
      <c r="G618" s="28"/>
      <c r="H618" s="28"/>
      <c r="I618" s="38"/>
      <c r="J618" s="39"/>
    </row>
    <row r="619" spans="1:10" x14ac:dyDescent="0.3">
      <c r="A619" s="49"/>
      <c r="B619" s="29"/>
      <c r="C619" s="29"/>
      <c r="D619" s="29"/>
      <c r="E619" s="29"/>
      <c r="F619" s="29"/>
      <c r="G619" s="29"/>
      <c r="H619" s="29"/>
      <c r="I619" s="36"/>
      <c r="J619" s="37"/>
    </row>
    <row r="620" spans="1:10" x14ac:dyDescent="0.3">
      <c r="A620" s="50"/>
      <c r="B620" s="28"/>
      <c r="C620" s="28"/>
      <c r="D620" s="28"/>
      <c r="E620" s="28"/>
      <c r="F620" s="28"/>
      <c r="G620" s="28"/>
      <c r="H620" s="28"/>
      <c r="I620" s="38"/>
      <c r="J620" s="39"/>
    </row>
    <row r="621" spans="1:10" x14ac:dyDescent="0.3">
      <c r="A621" s="49"/>
      <c r="B621" s="29"/>
      <c r="C621" s="29"/>
      <c r="D621" s="29"/>
      <c r="E621" s="29"/>
      <c r="F621" s="29"/>
      <c r="G621" s="29"/>
      <c r="H621" s="29"/>
      <c r="I621" s="36"/>
      <c r="J621" s="37"/>
    </row>
    <row r="622" spans="1:10" x14ac:dyDescent="0.3">
      <c r="A622" s="50"/>
      <c r="B622" s="28"/>
      <c r="C622" s="28"/>
      <c r="D622" s="28"/>
      <c r="E622" s="28"/>
      <c r="F622" s="28"/>
      <c r="G622" s="28"/>
      <c r="H622" s="28"/>
      <c r="I622" s="38"/>
      <c r="J622" s="39"/>
    </row>
    <row r="623" spans="1:10" x14ac:dyDescent="0.3">
      <c r="A623" s="49"/>
      <c r="B623" s="29"/>
      <c r="C623" s="29"/>
      <c r="D623" s="29"/>
      <c r="E623" s="29"/>
      <c r="F623" s="29"/>
      <c r="G623" s="29"/>
      <c r="H623" s="29"/>
      <c r="I623" s="36"/>
      <c r="J623" s="37"/>
    </row>
    <row r="624" spans="1:10" x14ac:dyDescent="0.3">
      <c r="A624" s="50"/>
      <c r="B624" s="28"/>
      <c r="C624" s="28"/>
      <c r="D624" s="28"/>
      <c r="E624" s="28"/>
      <c r="F624" s="28"/>
      <c r="G624" s="28"/>
      <c r="H624" s="28"/>
      <c r="I624" s="38"/>
      <c r="J624" s="39"/>
    </row>
    <row r="625" spans="1:10" x14ac:dyDescent="0.3">
      <c r="A625" s="49"/>
      <c r="B625" s="29"/>
      <c r="C625" s="29"/>
      <c r="D625" s="29"/>
      <c r="E625" s="29"/>
      <c r="F625" s="29"/>
      <c r="G625" s="29"/>
      <c r="H625" s="29"/>
      <c r="I625" s="36"/>
      <c r="J625" s="37"/>
    </row>
    <row r="626" spans="1:10" x14ac:dyDescent="0.3">
      <c r="A626" s="50"/>
      <c r="B626" s="28"/>
      <c r="C626" s="28"/>
      <c r="D626" s="28"/>
      <c r="E626" s="28"/>
      <c r="F626" s="28"/>
      <c r="G626" s="28"/>
      <c r="H626" s="28"/>
      <c r="I626" s="38"/>
      <c r="J626" s="39"/>
    </row>
    <row r="627" spans="1:10" x14ac:dyDescent="0.3">
      <c r="A627" s="49"/>
      <c r="B627" s="29"/>
      <c r="C627" s="29"/>
      <c r="D627" s="29"/>
      <c r="E627" s="29"/>
      <c r="F627" s="29"/>
      <c r="G627" s="29"/>
      <c r="H627" s="29"/>
      <c r="I627" s="36"/>
      <c r="J627" s="37"/>
    </row>
    <row r="628" spans="1:10" x14ac:dyDescent="0.3">
      <c r="A628" s="50"/>
      <c r="B628" s="28"/>
      <c r="C628" s="28"/>
      <c r="D628" s="28"/>
      <c r="E628" s="28"/>
      <c r="F628" s="28"/>
      <c r="G628" s="28"/>
      <c r="H628" s="28"/>
      <c r="I628" s="38"/>
      <c r="J628" s="39"/>
    </row>
    <row r="629" spans="1:10" x14ac:dyDescent="0.3">
      <c r="A629" s="49"/>
      <c r="B629" s="29"/>
      <c r="C629" s="29"/>
      <c r="D629" s="29"/>
      <c r="E629" s="29"/>
      <c r="F629" s="29"/>
      <c r="G629" s="29"/>
      <c r="H629" s="29"/>
      <c r="I629" s="36"/>
      <c r="J629" s="37"/>
    </row>
    <row r="630" spans="1:10" x14ac:dyDescent="0.3">
      <c r="A630" s="50"/>
      <c r="B630" s="28"/>
      <c r="C630" s="28"/>
      <c r="D630" s="28"/>
      <c r="E630" s="28"/>
      <c r="F630" s="28"/>
      <c r="G630" s="28"/>
      <c r="H630" s="28"/>
      <c r="I630" s="38"/>
      <c r="J630" s="39"/>
    </row>
    <row r="631" spans="1:10" x14ac:dyDescent="0.3">
      <c r="A631" s="49"/>
      <c r="B631" s="29"/>
      <c r="C631" s="29"/>
      <c r="D631" s="29"/>
      <c r="E631" s="29"/>
      <c r="F631" s="29"/>
      <c r="G631" s="29"/>
      <c r="H631" s="29"/>
      <c r="I631" s="36"/>
      <c r="J631" s="37"/>
    </row>
    <row r="632" spans="1:10" x14ac:dyDescent="0.3">
      <c r="A632" s="50"/>
      <c r="B632" s="28"/>
      <c r="C632" s="28"/>
      <c r="D632" s="28"/>
      <c r="E632" s="28"/>
      <c r="F632" s="28"/>
      <c r="G632" s="28"/>
      <c r="H632" s="28"/>
      <c r="I632" s="38"/>
      <c r="J632" s="39"/>
    </row>
    <row r="633" spans="1:10" x14ac:dyDescent="0.3">
      <c r="A633" s="49"/>
      <c r="B633" s="29"/>
      <c r="C633" s="29"/>
      <c r="D633" s="29"/>
      <c r="E633" s="29"/>
      <c r="F633" s="29"/>
      <c r="G633" s="29"/>
      <c r="H633" s="29"/>
      <c r="I633" s="36"/>
      <c r="J633" s="37"/>
    </row>
    <row r="634" spans="1:10" x14ac:dyDescent="0.3">
      <c r="A634" s="50"/>
      <c r="B634" s="28"/>
      <c r="C634" s="28"/>
      <c r="D634" s="28"/>
      <c r="E634" s="28"/>
      <c r="F634" s="28"/>
      <c r="G634" s="28"/>
      <c r="H634" s="28"/>
      <c r="I634" s="38"/>
      <c r="J634" s="39"/>
    </row>
    <row r="635" spans="1:10" x14ac:dyDescent="0.3">
      <c r="A635" s="49"/>
      <c r="B635" s="29"/>
      <c r="C635" s="29"/>
      <c r="D635" s="29"/>
      <c r="E635" s="29"/>
      <c r="F635" s="29"/>
      <c r="G635" s="29"/>
      <c r="H635" s="29"/>
      <c r="I635" s="36"/>
      <c r="J635" s="37"/>
    </row>
    <row r="636" spans="1:10" x14ac:dyDescent="0.3">
      <c r="A636" s="50"/>
      <c r="B636" s="28"/>
      <c r="C636" s="28"/>
      <c r="D636" s="28"/>
      <c r="E636" s="28"/>
      <c r="F636" s="28"/>
      <c r="G636" s="28"/>
      <c r="H636" s="28"/>
      <c r="I636" s="38"/>
      <c r="J636" s="39"/>
    </row>
    <row r="637" spans="1:10" x14ac:dyDescent="0.3">
      <c r="A637" s="49"/>
      <c r="B637" s="29"/>
      <c r="C637" s="29"/>
      <c r="D637" s="29"/>
      <c r="E637" s="29"/>
      <c r="F637" s="29"/>
      <c r="G637" s="29"/>
      <c r="H637" s="29"/>
      <c r="I637" s="36"/>
      <c r="J637" s="37"/>
    </row>
    <row r="638" spans="1:10" x14ac:dyDescent="0.3">
      <c r="A638" s="50"/>
      <c r="B638" s="28"/>
      <c r="C638" s="28"/>
      <c r="D638" s="28"/>
      <c r="E638" s="28"/>
      <c r="F638" s="28"/>
      <c r="G638" s="28"/>
      <c r="H638" s="28"/>
      <c r="I638" s="38"/>
      <c r="J638" s="39"/>
    </row>
    <row r="639" spans="1:10" x14ac:dyDescent="0.3">
      <c r="A639" s="49"/>
      <c r="B639" s="29"/>
      <c r="C639" s="29"/>
      <c r="D639" s="29"/>
      <c r="E639" s="29"/>
      <c r="F639" s="29"/>
      <c r="G639" s="29"/>
      <c r="H639" s="29"/>
      <c r="I639" s="36"/>
      <c r="J639" s="37"/>
    </row>
    <row r="640" spans="1:10" x14ac:dyDescent="0.3">
      <c r="A640" s="50"/>
      <c r="B640" s="28"/>
      <c r="C640" s="28"/>
      <c r="D640" s="28"/>
      <c r="E640" s="28"/>
      <c r="F640" s="28"/>
      <c r="G640" s="28"/>
      <c r="H640" s="28"/>
      <c r="I640" s="38"/>
      <c r="J640" s="39"/>
    </row>
    <row r="641" spans="1:10" x14ac:dyDescent="0.3">
      <c r="A641" s="49"/>
      <c r="B641" s="29"/>
      <c r="C641" s="29"/>
      <c r="D641" s="29"/>
      <c r="E641" s="29"/>
      <c r="F641" s="29"/>
      <c r="G641" s="29"/>
      <c r="H641" s="29"/>
      <c r="I641" s="36"/>
      <c r="J641" s="37"/>
    </row>
    <row r="642" spans="1:10" x14ac:dyDescent="0.3">
      <c r="A642" s="50"/>
      <c r="B642" s="28"/>
      <c r="C642" s="28"/>
      <c r="D642" s="28"/>
      <c r="E642" s="28"/>
      <c r="F642" s="28"/>
      <c r="G642" s="28"/>
      <c r="H642" s="28"/>
      <c r="I642" s="38"/>
      <c r="J642" s="39"/>
    </row>
    <row r="643" spans="1:10" x14ac:dyDescent="0.3">
      <c r="A643" s="49"/>
      <c r="B643" s="29"/>
      <c r="C643" s="29"/>
      <c r="D643" s="29"/>
      <c r="E643" s="29"/>
      <c r="F643" s="29"/>
      <c r="G643" s="29"/>
      <c r="H643" s="29"/>
      <c r="I643" s="36"/>
      <c r="J643" s="37"/>
    </row>
    <row r="644" spans="1:10" x14ac:dyDescent="0.3">
      <c r="A644" s="50"/>
      <c r="B644" s="28"/>
      <c r="C644" s="28"/>
      <c r="D644" s="28"/>
      <c r="E644" s="28"/>
      <c r="F644" s="28"/>
      <c r="G644" s="28"/>
      <c r="H644" s="28"/>
      <c r="I644" s="38"/>
      <c r="J644" s="39"/>
    </row>
    <row r="645" spans="1:10" x14ac:dyDescent="0.3">
      <c r="A645" s="49"/>
      <c r="B645" s="29"/>
      <c r="C645" s="29"/>
      <c r="D645" s="29"/>
      <c r="E645" s="29"/>
      <c r="F645" s="29"/>
      <c r="G645" s="29"/>
      <c r="H645" s="29"/>
      <c r="I645" s="36"/>
      <c r="J645" s="37"/>
    </row>
    <row r="646" spans="1:10" x14ac:dyDescent="0.3">
      <c r="A646" s="50"/>
      <c r="B646" s="28"/>
      <c r="C646" s="28"/>
      <c r="D646" s="28"/>
      <c r="E646" s="28"/>
      <c r="F646" s="28"/>
      <c r="G646" s="28"/>
      <c r="H646" s="28"/>
      <c r="I646" s="38"/>
      <c r="J646" s="39"/>
    </row>
    <row r="647" spans="1:10" x14ac:dyDescent="0.3">
      <c r="A647" s="49"/>
      <c r="B647" s="29"/>
      <c r="C647" s="29"/>
      <c r="D647" s="29"/>
      <c r="E647" s="29"/>
      <c r="F647" s="29"/>
      <c r="G647" s="29"/>
      <c r="H647" s="29"/>
      <c r="I647" s="36"/>
      <c r="J647" s="37"/>
    </row>
    <row r="648" spans="1:10" x14ac:dyDescent="0.3">
      <c r="A648" s="50"/>
      <c r="B648" s="28"/>
      <c r="C648" s="28"/>
      <c r="D648" s="28"/>
      <c r="E648" s="28"/>
      <c r="F648" s="28"/>
      <c r="G648" s="28"/>
      <c r="H648" s="28"/>
      <c r="I648" s="38"/>
      <c r="J648" s="39"/>
    </row>
    <row r="649" spans="1:10" x14ac:dyDescent="0.3">
      <c r="A649" s="49"/>
      <c r="B649" s="29"/>
      <c r="C649" s="29"/>
      <c r="D649" s="29"/>
      <c r="E649" s="29"/>
      <c r="F649" s="29"/>
      <c r="G649" s="29"/>
      <c r="H649" s="29"/>
      <c r="I649" s="36"/>
      <c r="J649" s="37"/>
    </row>
    <row r="650" spans="1:10" x14ac:dyDescent="0.3">
      <c r="A650" s="50"/>
      <c r="B650" s="28"/>
      <c r="C650" s="28"/>
      <c r="D650" s="28"/>
      <c r="E650" s="28"/>
      <c r="F650" s="28"/>
      <c r="G650" s="28"/>
      <c r="H650" s="28"/>
      <c r="I650" s="38"/>
      <c r="J650" s="39"/>
    </row>
    <row r="651" spans="1:10" x14ac:dyDescent="0.3">
      <c r="A651" s="49"/>
      <c r="B651" s="29"/>
      <c r="C651" s="29"/>
      <c r="D651" s="29"/>
      <c r="E651" s="29"/>
      <c r="F651" s="29"/>
      <c r="G651" s="29"/>
      <c r="H651" s="29"/>
      <c r="I651" s="36"/>
      <c r="J651" s="37"/>
    </row>
    <row r="652" spans="1:10" x14ac:dyDescent="0.3">
      <c r="A652" s="50"/>
      <c r="B652" s="28"/>
      <c r="C652" s="28"/>
      <c r="D652" s="28"/>
      <c r="E652" s="28"/>
      <c r="F652" s="28"/>
      <c r="G652" s="28"/>
      <c r="H652" s="28"/>
      <c r="I652" s="38"/>
      <c r="J652" s="39"/>
    </row>
    <row r="653" spans="1:10" x14ac:dyDescent="0.3">
      <c r="A653" s="49"/>
      <c r="B653" s="29"/>
      <c r="C653" s="29"/>
      <c r="D653" s="29"/>
      <c r="E653" s="29"/>
      <c r="F653" s="29"/>
      <c r="G653" s="29"/>
      <c r="H653" s="29"/>
      <c r="I653" s="36"/>
      <c r="J653" s="37"/>
    </row>
    <row r="654" spans="1:10" x14ac:dyDescent="0.3">
      <c r="A654" s="50"/>
      <c r="B654" s="28"/>
      <c r="C654" s="28"/>
      <c r="D654" s="28"/>
      <c r="E654" s="28"/>
      <c r="F654" s="28"/>
      <c r="G654" s="28"/>
      <c r="H654" s="28"/>
      <c r="I654" s="38"/>
      <c r="J654" s="39"/>
    </row>
    <row r="655" spans="1:10" x14ac:dyDescent="0.3">
      <c r="A655" s="49"/>
      <c r="B655" s="29"/>
      <c r="C655" s="29"/>
      <c r="D655" s="29"/>
      <c r="E655" s="29"/>
      <c r="F655" s="29"/>
      <c r="G655" s="29"/>
      <c r="H655" s="29"/>
      <c r="I655" s="36"/>
      <c r="J655" s="37"/>
    </row>
    <row r="656" spans="1:10" x14ac:dyDescent="0.3">
      <c r="A656" s="50"/>
      <c r="B656" s="28"/>
      <c r="C656" s="28"/>
      <c r="D656" s="28"/>
      <c r="E656" s="28"/>
      <c r="F656" s="28"/>
      <c r="G656" s="28"/>
      <c r="H656" s="28"/>
      <c r="I656" s="38"/>
      <c r="J656" s="39"/>
    </row>
    <row r="657" spans="1:10" x14ac:dyDescent="0.3">
      <c r="A657" s="49"/>
      <c r="B657" s="29"/>
      <c r="C657" s="29"/>
      <c r="D657" s="29"/>
      <c r="E657" s="29"/>
      <c r="F657" s="29"/>
      <c r="G657" s="29"/>
      <c r="H657" s="29"/>
      <c r="I657" s="36"/>
      <c r="J657" s="37"/>
    </row>
    <row r="658" spans="1:10" x14ac:dyDescent="0.3">
      <c r="A658" s="50"/>
      <c r="B658" s="28"/>
      <c r="C658" s="28"/>
      <c r="D658" s="28"/>
      <c r="E658" s="28"/>
      <c r="F658" s="28"/>
      <c r="G658" s="28"/>
      <c r="H658" s="28"/>
      <c r="I658" s="38"/>
      <c r="J658" s="39"/>
    </row>
    <row r="659" spans="1:10" x14ac:dyDescent="0.3">
      <c r="A659" s="49"/>
      <c r="B659" s="29"/>
      <c r="C659" s="29"/>
      <c r="D659" s="29"/>
      <c r="E659" s="29"/>
      <c r="F659" s="29"/>
      <c r="G659" s="29"/>
      <c r="H659" s="29"/>
      <c r="I659" s="36"/>
      <c r="J659" s="37"/>
    </row>
    <row r="660" spans="1:10" x14ac:dyDescent="0.3">
      <c r="A660" s="50"/>
      <c r="B660" s="28"/>
      <c r="C660" s="28"/>
      <c r="D660" s="28"/>
      <c r="E660" s="28"/>
      <c r="F660" s="28"/>
      <c r="G660" s="28"/>
      <c r="H660" s="28"/>
      <c r="I660" s="38"/>
      <c r="J660" s="39"/>
    </row>
    <row r="661" spans="1:10" x14ac:dyDescent="0.3">
      <c r="A661" s="49"/>
      <c r="B661" s="29"/>
      <c r="C661" s="29"/>
      <c r="D661" s="29"/>
      <c r="E661" s="29"/>
      <c r="F661" s="29"/>
      <c r="G661" s="29"/>
      <c r="H661" s="29"/>
      <c r="I661" s="36"/>
      <c r="J661" s="37"/>
    </row>
    <row r="662" spans="1:10" x14ac:dyDescent="0.3">
      <c r="A662" s="50"/>
      <c r="B662" s="28"/>
      <c r="C662" s="28"/>
      <c r="D662" s="28"/>
      <c r="E662" s="28"/>
      <c r="F662" s="28"/>
      <c r="G662" s="28"/>
      <c r="H662" s="28"/>
      <c r="I662" s="38"/>
      <c r="J662" s="39"/>
    </row>
    <row r="663" spans="1:10" x14ac:dyDescent="0.3">
      <c r="A663" s="49"/>
      <c r="B663" s="29"/>
      <c r="C663" s="29"/>
      <c r="D663" s="29"/>
      <c r="E663" s="29"/>
      <c r="F663" s="29"/>
      <c r="G663" s="29"/>
      <c r="H663" s="29"/>
      <c r="I663" s="36"/>
      <c r="J663" s="37"/>
    </row>
    <row r="664" spans="1:10" x14ac:dyDescent="0.3">
      <c r="A664" s="50"/>
      <c r="B664" s="28"/>
      <c r="C664" s="28"/>
      <c r="D664" s="28"/>
      <c r="E664" s="28"/>
      <c r="F664" s="28"/>
      <c r="G664" s="28"/>
      <c r="H664" s="28"/>
      <c r="I664" s="38"/>
      <c r="J664" s="39"/>
    </row>
    <row r="665" spans="1:10" x14ac:dyDescent="0.3">
      <c r="A665" s="49"/>
      <c r="B665" s="29"/>
      <c r="C665" s="29"/>
      <c r="D665" s="29"/>
      <c r="E665" s="29"/>
      <c r="F665" s="29"/>
      <c r="G665" s="29"/>
      <c r="H665" s="29"/>
      <c r="I665" s="36"/>
      <c r="J665" s="37"/>
    </row>
    <row r="666" spans="1:10" x14ac:dyDescent="0.3">
      <c r="A666" s="50"/>
      <c r="B666" s="28"/>
      <c r="C666" s="28"/>
      <c r="D666" s="28"/>
      <c r="E666" s="28"/>
      <c r="F666" s="28"/>
      <c r="G666" s="28"/>
      <c r="H666" s="28"/>
      <c r="I666" s="38"/>
      <c r="J666" s="39"/>
    </row>
    <row r="667" spans="1:10" x14ac:dyDescent="0.3">
      <c r="A667" s="49"/>
      <c r="B667" s="29"/>
      <c r="C667" s="29"/>
      <c r="D667" s="29"/>
      <c r="E667" s="29"/>
      <c r="F667" s="29"/>
      <c r="G667" s="29"/>
      <c r="H667" s="29"/>
      <c r="I667" s="36"/>
      <c r="J667" s="37"/>
    </row>
    <row r="668" spans="1:10" x14ac:dyDescent="0.3">
      <c r="A668" s="50"/>
      <c r="B668" s="28"/>
      <c r="C668" s="28"/>
      <c r="D668" s="28"/>
      <c r="E668" s="28"/>
      <c r="F668" s="28"/>
      <c r="G668" s="28"/>
      <c r="H668" s="28"/>
      <c r="I668" s="38"/>
      <c r="J668" s="39"/>
    </row>
    <row r="669" spans="1:10" x14ac:dyDescent="0.3">
      <c r="A669" s="49"/>
      <c r="B669" s="29"/>
      <c r="C669" s="29"/>
      <c r="D669" s="29"/>
      <c r="E669" s="29"/>
      <c r="F669" s="29"/>
      <c r="G669" s="29"/>
      <c r="H669" s="29"/>
      <c r="I669" s="36"/>
      <c r="J669" s="37"/>
    </row>
    <row r="670" spans="1:10" x14ac:dyDescent="0.3">
      <c r="A670" s="50"/>
      <c r="B670" s="28"/>
      <c r="C670" s="28"/>
      <c r="D670" s="28"/>
      <c r="E670" s="28"/>
      <c r="F670" s="28"/>
      <c r="G670" s="28"/>
      <c r="H670" s="28"/>
      <c r="I670" s="38"/>
      <c r="J670" s="39"/>
    </row>
    <row r="671" spans="1:10" x14ac:dyDescent="0.3">
      <c r="A671" s="49"/>
      <c r="B671" s="29"/>
      <c r="C671" s="29"/>
      <c r="D671" s="29"/>
      <c r="E671" s="29"/>
      <c r="F671" s="29"/>
      <c r="G671" s="29"/>
      <c r="H671" s="29"/>
      <c r="I671" s="36"/>
      <c r="J671" s="37"/>
    </row>
    <row r="672" spans="1:10" x14ac:dyDescent="0.3">
      <c r="A672" s="50"/>
      <c r="B672" s="28"/>
      <c r="C672" s="28"/>
      <c r="D672" s="28"/>
      <c r="E672" s="28"/>
      <c r="F672" s="28"/>
      <c r="G672" s="28"/>
      <c r="H672" s="28"/>
      <c r="I672" s="38"/>
      <c r="J672" s="39"/>
    </row>
    <row r="673" spans="1:10" x14ac:dyDescent="0.3">
      <c r="A673" s="49"/>
      <c r="B673" s="29"/>
      <c r="C673" s="29"/>
      <c r="D673" s="29"/>
      <c r="E673" s="29"/>
      <c r="F673" s="29"/>
      <c r="G673" s="29"/>
      <c r="H673" s="29"/>
      <c r="I673" s="36"/>
      <c r="J673" s="37"/>
    </row>
    <row r="674" spans="1:10" x14ac:dyDescent="0.3">
      <c r="A674" s="50"/>
      <c r="B674" s="28"/>
      <c r="C674" s="28"/>
      <c r="D674" s="28"/>
      <c r="E674" s="28"/>
      <c r="F674" s="28"/>
      <c r="G674" s="28"/>
      <c r="H674" s="28"/>
      <c r="I674" s="38"/>
      <c r="J674" s="39"/>
    </row>
    <row r="675" spans="1:10" x14ac:dyDescent="0.3">
      <c r="A675" s="49"/>
      <c r="B675" s="29"/>
      <c r="C675" s="29"/>
      <c r="D675" s="29"/>
      <c r="E675" s="29"/>
      <c r="F675" s="29"/>
      <c r="G675" s="29"/>
      <c r="H675" s="29"/>
      <c r="I675" s="36"/>
      <c r="J675" s="37"/>
    </row>
    <row r="676" spans="1:10" x14ac:dyDescent="0.3">
      <c r="A676" s="50"/>
      <c r="B676" s="28"/>
      <c r="C676" s="28"/>
      <c r="D676" s="28"/>
      <c r="E676" s="28"/>
      <c r="F676" s="28"/>
      <c r="G676" s="28"/>
      <c r="H676" s="28"/>
      <c r="I676" s="38"/>
      <c r="J676" s="39"/>
    </row>
    <row r="677" spans="1:10" x14ac:dyDescent="0.3">
      <c r="A677" s="49"/>
      <c r="B677" s="29"/>
      <c r="C677" s="29"/>
      <c r="D677" s="29"/>
      <c r="E677" s="29"/>
      <c r="F677" s="29"/>
      <c r="G677" s="29"/>
      <c r="H677" s="29"/>
      <c r="I677" s="36"/>
      <c r="J677" s="37"/>
    </row>
    <row r="678" spans="1:10" x14ac:dyDescent="0.3">
      <c r="A678" s="50"/>
      <c r="B678" s="28"/>
      <c r="C678" s="28"/>
      <c r="D678" s="28"/>
      <c r="E678" s="28"/>
      <c r="F678" s="28"/>
      <c r="G678" s="28"/>
      <c r="H678" s="28"/>
      <c r="I678" s="38"/>
      <c r="J678" s="39"/>
    </row>
    <row r="679" spans="1:10" x14ac:dyDescent="0.3">
      <c r="A679" s="49"/>
      <c r="B679" s="29"/>
      <c r="C679" s="29"/>
      <c r="D679" s="29"/>
      <c r="E679" s="29"/>
      <c r="F679" s="29"/>
      <c r="G679" s="29"/>
      <c r="H679" s="29"/>
      <c r="I679" s="36"/>
      <c r="J679" s="37"/>
    </row>
    <row r="680" spans="1:10" x14ac:dyDescent="0.3">
      <c r="A680" s="50"/>
      <c r="B680" s="28"/>
      <c r="C680" s="28"/>
      <c r="D680" s="28"/>
      <c r="E680" s="28"/>
      <c r="F680" s="28"/>
      <c r="G680" s="28"/>
      <c r="H680" s="28"/>
      <c r="I680" s="38"/>
      <c r="J680" s="39"/>
    </row>
    <row r="681" spans="1:10" x14ac:dyDescent="0.3">
      <c r="A681" s="49"/>
      <c r="B681" s="29"/>
      <c r="C681" s="29"/>
      <c r="D681" s="29"/>
      <c r="E681" s="29"/>
      <c r="F681" s="29"/>
      <c r="G681" s="29"/>
      <c r="H681" s="29"/>
      <c r="I681" s="36"/>
      <c r="J681" s="37"/>
    </row>
    <row r="682" spans="1:10" x14ac:dyDescent="0.3">
      <c r="A682" s="50"/>
      <c r="B682" s="28"/>
      <c r="C682" s="28"/>
      <c r="D682" s="28"/>
      <c r="E682" s="28"/>
      <c r="F682" s="28"/>
      <c r="G682" s="28"/>
      <c r="H682" s="28"/>
      <c r="I682" s="38"/>
      <c r="J682" s="39"/>
    </row>
    <row r="683" spans="1:10" x14ac:dyDescent="0.3">
      <c r="A683" s="49"/>
      <c r="B683" s="29"/>
      <c r="C683" s="29"/>
      <c r="D683" s="29"/>
      <c r="E683" s="29"/>
      <c r="F683" s="29"/>
      <c r="G683" s="29"/>
      <c r="H683" s="29"/>
      <c r="I683" s="36"/>
      <c r="J683" s="37"/>
    </row>
    <row r="684" spans="1:10" x14ac:dyDescent="0.3">
      <c r="A684" s="50"/>
      <c r="B684" s="28"/>
      <c r="C684" s="28"/>
      <c r="D684" s="28"/>
      <c r="E684" s="28"/>
      <c r="F684" s="28"/>
      <c r="G684" s="28"/>
      <c r="H684" s="28"/>
      <c r="I684" s="38"/>
      <c r="J684" s="39"/>
    </row>
    <row r="685" spans="1:10" x14ac:dyDescent="0.3">
      <c r="A685" s="49"/>
      <c r="B685" s="29"/>
      <c r="C685" s="29"/>
      <c r="D685" s="29"/>
      <c r="E685" s="29"/>
      <c r="F685" s="29"/>
      <c r="G685" s="29"/>
      <c r="H685" s="29"/>
      <c r="I685" s="36"/>
      <c r="J685" s="37"/>
    </row>
    <row r="686" spans="1:10" x14ac:dyDescent="0.3">
      <c r="A686" s="50"/>
      <c r="B686" s="28"/>
      <c r="C686" s="28"/>
      <c r="D686" s="28"/>
      <c r="E686" s="28"/>
      <c r="F686" s="28"/>
      <c r="G686" s="28"/>
      <c r="H686" s="28"/>
      <c r="I686" s="38"/>
      <c r="J686" s="39"/>
    </row>
    <row r="687" spans="1:10" x14ac:dyDescent="0.3">
      <c r="A687" s="49"/>
      <c r="B687" s="29"/>
      <c r="C687" s="29"/>
      <c r="D687" s="29"/>
      <c r="E687" s="29"/>
      <c r="F687" s="29"/>
      <c r="G687" s="29"/>
      <c r="H687" s="29"/>
      <c r="I687" s="36"/>
      <c r="J687" s="37"/>
    </row>
    <row r="688" spans="1:10" x14ac:dyDescent="0.3">
      <c r="A688" s="50"/>
      <c r="B688" s="28"/>
      <c r="C688" s="28"/>
      <c r="D688" s="28"/>
      <c r="E688" s="28"/>
      <c r="F688" s="28"/>
      <c r="G688" s="28"/>
      <c r="H688" s="28"/>
      <c r="I688" s="38"/>
      <c r="J688" s="39"/>
    </row>
    <row r="689" spans="1:10" x14ac:dyDescent="0.3">
      <c r="A689" s="49"/>
      <c r="B689" s="29"/>
      <c r="C689" s="29"/>
      <c r="D689" s="29"/>
      <c r="E689" s="29"/>
      <c r="F689" s="29"/>
      <c r="G689" s="29"/>
      <c r="H689" s="29"/>
      <c r="I689" s="36"/>
      <c r="J689" s="37"/>
    </row>
    <row r="690" spans="1:10" x14ac:dyDescent="0.3">
      <c r="A690" s="50"/>
      <c r="B690" s="28"/>
      <c r="C690" s="28"/>
      <c r="D690" s="28"/>
      <c r="E690" s="28"/>
      <c r="F690" s="28"/>
      <c r="G690" s="28"/>
      <c r="H690" s="28"/>
      <c r="I690" s="38"/>
      <c r="J690" s="39"/>
    </row>
    <row r="691" spans="1:10" x14ac:dyDescent="0.3">
      <c r="A691" s="49"/>
      <c r="B691" s="29"/>
      <c r="C691" s="29"/>
      <c r="D691" s="29"/>
      <c r="E691" s="29"/>
      <c r="F691" s="29"/>
      <c r="G691" s="29"/>
      <c r="H691" s="29"/>
      <c r="I691" s="36"/>
      <c r="J691" s="37"/>
    </row>
    <row r="692" spans="1:10" x14ac:dyDescent="0.3">
      <c r="A692" s="50"/>
      <c r="B692" s="28"/>
      <c r="C692" s="28"/>
      <c r="D692" s="28"/>
      <c r="E692" s="28"/>
      <c r="F692" s="28"/>
      <c r="G692" s="28"/>
      <c r="H692" s="28"/>
      <c r="I692" s="38"/>
      <c r="J692" s="39"/>
    </row>
    <row r="693" spans="1:10" x14ac:dyDescent="0.3">
      <c r="A693" s="49"/>
      <c r="B693" s="29"/>
      <c r="C693" s="29"/>
      <c r="D693" s="29"/>
      <c r="E693" s="29"/>
      <c r="F693" s="29"/>
      <c r="G693" s="29"/>
      <c r="H693" s="29"/>
      <c r="I693" s="36"/>
      <c r="J693" s="37"/>
    </row>
    <row r="694" spans="1:10" x14ac:dyDescent="0.3">
      <c r="A694" s="50"/>
      <c r="B694" s="28"/>
      <c r="C694" s="28"/>
      <c r="D694" s="28"/>
      <c r="E694" s="28"/>
      <c r="F694" s="28"/>
      <c r="G694" s="28"/>
      <c r="H694" s="28"/>
      <c r="I694" s="38"/>
      <c r="J694" s="39"/>
    </row>
    <row r="695" spans="1:10" x14ac:dyDescent="0.3">
      <c r="A695" s="49"/>
      <c r="B695" s="29"/>
      <c r="C695" s="29"/>
      <c r="D695" s="29"/>
      <c r="E695" s="29"/>
      <c r="F695" s="29"/>
      <c r="G695" s="29"/>
      <c r="H695" s="29"/>
      <c r="I695" s="36"/>
      <c r="J695" s="37"/>
    </row>
    <row r="696" spans="1:10" x14ac:dyDescent="0.3">
      <c r="A696" s="50"/>
      <c r="B696" s="28"/>
      <c r="C696" s="28"/>
      <c r="D696" s="28"/>
      <c r="E696" s="28"/>
      <c r="F696" s="28"/>
      <c r="G696" s="28"/>
      <c r="H696" s="28"/>
      <c r="I696" s="38"/>
      <c r="J696" s="39"/>
    </row>
    <row r="697" spans="1:10" x14ac:dyDescent="0.3">
      <c r="A697" s="49"/>
      <c r="B697" s="29"/>
      <c r="C697" s="29"/>
      <c r="D697" s="29"/>
      <c r="E697" s="29"/>
      <c r="F697" s="29"/>
      <c r="G697" s="29"/>
      <c r="H697" s="29"/>
      <c r="I697" s="36"/>
      <c r="J697" s="37"/>
    </row>
    <row r="698" spans="1:10" x14ac:dyDescent="0.3">
      <c r="A698" s="50"/>
      <c r="B698" s="28"/>
      <c r="C698" s="28"/>
      <c r="D698" s="28"/>
      <c r="E698" s="28"/>
      <c r="F698" s="28"/>
      <c r="G698" s="28"/>
      <c r="H698" s="28"/>
      <c r="I698" s="38"/>
      <c r="J698" s="39"/>
    </row>
    <row r="699" spans="1:10" x14ac:dyDescent="0.3">
      <c r="A699" s="49"/>
      <c r="B699" s="29"/>
      <c r="C699" s="29"/>
      <c r="D699" s="29"/>
      <c r="E699" s="29"/>
      <c r="F699" s="29"/>
      <c r="G699" s="29"/>
      <c r="H699" s="29"/>
      <c r="I699" s="36"/>
      <c r="J699" s="37"/>
    </row>
    <row r="700" spans="1:10" x14ac:dyDescent="0.3">
      <c r="A700" s="50"/>
      <c r="B700" s="28"/>
      <c r="C700" s="28"/>
      <c r="D700" s="28"/>
      <c r="E700" s="28"/>
      <c r="F700" s="28"/>
      <c r="G700" s="28"/>
      <c r="H700" s="28"/>
      <c r="I700" s="38"/>
      <c r="J700" s="39"/>
    </row>
    <row r="701" spans="1:10" x14ac:dyDescent="0.3">
      <c r="A701" s="49"/>
      <c r="B701" s="29"/>
      <c r="C701" s="29"/>
      <c r="D701" s="29"/>
      <c r="E701" s="29"/>
      <c r="F701" s="29"/>
      <c r="G701" s="29"/>
      <c r="H701" s="29"/>
      <c r="I701" s="36"/>
      <c r="J701" s="37"/>
    </row>
    <row r="702" spans="1:10" x14ac:dyDescent="0.3">
      <c r="A702" s="50"/>
      <c r="B702" s="28"/>
      <c r="C702" s="28"/>
      <c r="D702" s="28"/>
      <c r="E702" s="28"/>
      <c r="F702" s="28"/>
      <c r="G702" s="28"/>
      <c r="H702" s="28"/>
      <c r="I702" s="38"/>
      <c r="J702" s="39"/>
    </row>
    <row r="703" spans="1:10" x14ac:dyDescent="0.3">
      <c r="A703" s="49"/>
      <c r="B703" s="29"/>
      <c r="C703" s="29"/>
      <c r="D703" s="29"/>
      <c r="E703" s="29"/>
      <c r="F703" s="29"/>
      <c r="G703" s="29"/>
      <c r="H703" s="29"/>
      <c r="I703" s="36"/>
      <c r="J703" s="37"/>
    </row>
    <row r="704" spans="1:10" x14ac:dyDescent="0.3">
      <c r="A704" s="50"/>
      <c r="B704" s="28"/>
      <c r="C704" s="28"/>
      <c r="D704" s="28"/>
      <c r="E704" s="28"/>
      <c r="F704" s="28"/>
      <c r="G704" s="28"/>
      <c r="H704" s="28"/>
      <c r="I704" s="38"/>
      <c r="J704" s="39"/>
    </row>
    <row r="705" spans="1:10" x14ac:dyDescent="0.3">
      <c r="A705" s="49"/>
      <c r="B705" s="29"/>
      <c r="C705" s="29"/>
      <c r="D705" s="29"/>
      <c r="E705" s="29"/>
      <c r="F705" s="29"/>
      <c r="G705" s="29"/>
      <c r="H705" s="29"/>
      <c r="I705" s="36"/>
      <c r="J705" s="37"/>
    </row>
    <row r="706" spans="1:10" x14ac:dyDescent="0.3">
      <c r="A706" s="50"/>
      <c r="B706" s="28"/>
      <c r="C706" s="28"/>
      <c r="D706" s="28"/>
      <c r="E706" s="28"/>
      <c r="F706" s="28"/>
      <c r="G706" s="28"/>
      <c r="H706" s="28"/>
      <c r="I706" s="38"/>
      <c r="J706" s="39"/>
    </row>
    <row r="707" spans="1:10" x14ac:dyDescent="0.3">
      <c r="A707" s="49"/>
      <c r="B707" s="29"/>
      <c r="C707" s="29"/>
      <c r="D707" s="29"/>
      <c r="E707" s="29"/>
      <c r="F707" s="29"/>
      <c r="G707" s="29"/>
      <c r="H707" s="29"/>
      <c r="I707" s="36"/>
      <c r="J707" s="37"/>
    </row>
    <row r="708" spans="1:10" x14ac:dyDescent="0.3">
      <c r="A708" s="50"/>
      <c r="B708" s="28"/>
      <c r="C708" s="28"/>
      <c r="D708" s="28"/>
      <c r="E708" s="28"/>
      <c r="F708" s="28"/>
      <c r="G708" s="28"/>
      <c r="H708" s="28"/>
      <c r="I708" s="38"/>
      <c r="J708" s="39"/>
    </row>
    <row r="709" spans="1:10" x14ac:dyDescent="0.3">
      <c r="A709" s="49"/>
      <c r="B709" s="29"/>
      <c r="C709" s="29"/>
      <c r="D709" s="29"/>
      <c r="E709" s="29"/>
      <c r="F709" s="29"/>
      <c r="G709" s="29"/>
      <c r="H709" s="29"/>
      <c r="I709" s="36"/>
      <c r="J709" s="37"/>
    </row>
    <row r="710" spans="1:10" x14ac:dyDescent="0.3">
      <c r="A710" s="50"/>
      <c r="B710" s="28"/>
      <c r="C710" s="28"/>
      <c r="D710" s="28"/>
      <c r="E710" s="28"/>
      <c r="F710" s="28"/>
      <c r="G710" s="28"/>
      <c r="H710" s="28"/>
      <c r="I710" s="38"/>
      <c r="J710" s="39"/>
    </row>
    <row r="711" spans="1:10" x14ac:dyDescent="0.3">
      <c r="A711" s="49"/>
      <c r="B711" s="29"/>
      <c r="C711" s="29"/>
      <c r="D711" s="29"/>
      <c r="E711" s="29"/>
      <c r="F711" s="29"/>
      <c r="G711" s="29"/>
      <c r="H711" s="29"/>
      <c r="I711" s="36"/>
      <c r="J711" s="37"/>
    </row>
    <row r="712" spans="1:10" x14ac:dyDescent="0.3">
      <c r="A712" s="50"/>
      <c r="B712" s="28"/>
      <c r="C712" s="28"/>
      <c r="D712" s="28"/>
      <c r="E712" s="28"/>
      <c r="F712" s="28"/>
      <c r="G712" s="28"/>
      <c r="H712" s="28"/>
      <c r="I712" s="38"/>
      <c r="J712" s="39"/>
    </row>
    <row r="713" spans="1:10" x14ac:dyDescent="0.3">
      <c r="A713" s="49"/>
      <c r="B713" s="29"/>
      <c r="C713" s="29"/>
      <c r="D713" s="29"/>
      <c r="E713" s="29"/>
      <c r="F713" s="29"/>
      <c r="G713" s="29"/>
      <c r="H713" s="29"/>
      <c r="I713" s="36"/>
      <c r="J713" s="37"/>
    </row>
    <row r="714" spans="1:10" x14ac:dyDescent="0.3">
      <c r="A714" s="50"/>
      <c r="B714" s="28"/>
      <c r="C714" s="28"/>
      <c r="D714" s="28"/>
      <c r="E714" s="28"/>
      <c r="F714" s="28"/>
      <c r="G714" s="28"/>
      <c r="H714" s="28"/>
      <c r="I714" s="38"/>
      <c r="J714" s="39"/>
    </row>
    <row r="715" spans="1:10" x14ac:dyDescent="0.3">
      <c r="A715" s="49"/>
      <c r="B715" s="29"/>
      <c r="C715" s="29"/>
      <c r="D715" s="29"/>
      <c r="E715" s="29"/>
      <c r="F715" s="29"/>
      <c r="G715" s="29"/>
      <c r="H715" s="29"/>
      <c r="I715" s="36"/>
      <c r="J715" s="37"/>
    </row>
    <row r="716" spans="1:10" x14ac:dyDescent="0.3">
      <c r="A716" s="50"/>
      <c r="B716" s="28"/>
      <c r="C716" s="28"/>
      <c r="D716" s="28"/>
      <c r="E716" s="28"/>
      <c r="F716" s="28"/>
      <c r="G716" s="28"/>
      <c r="H716" s="28"/>
      <c r="I716" s="38"/>
      <c r="J716" s="39"/>
    </row>
    <row r="717" spans="1:10" x14ac:dyDescent="0.3">
      <c r="A717" s="49"/>
      <c r="B717" s="29"/>
      <c r="C717" s="29"/>
      <c r="D717" s="29"/>
      <c r="E717" s="29"/>
      <c r="F717" s="29"/>
      <c r="G717" s="29"/>
      <c r="H717" s="29"/>
      <c r="I717" s="36"/>
      <c r="J717" s="37"/>
    </row>
    <row r="718" spans="1:10" x14ac:dyDescent="0.3">
      <c r="A718" s="50"/>
      <c r="B718" s="28"/>
      <c r="C718" s="28"/>
      <c r="D718" s="28"/>
      <c r="E718" s="28"/>
      <c r="F718" s="28"/>
      <c r="G718" s="28"/>
      <c r="H718" s="28"/>
      <c r="I718" s="38"/>
      <c r="J718" s="39"/>
    </row>
    <row r="719" spans="1:10" x14ac:dyDescent="0.3">
      <c r="A719" s="49"/>
      <c r="B719" s="29"/>
      <c r="C719" s="29"/>
      <c r="D719" s="29"/>
      <c r="E719" s="29"/>
      <c r="F719" s="29"/>
      <c r="G719" s="29"/>
      <c r="H719" s="29"/>
      <c r="I719" s="36"/>
      <c r="J719" s="37"/>
    </row>
    <row r="720" spans="1:10" x14ac:dyDescent="0.3">
      <c r="A720" s="50"/>
      <c r="B720" s="28"/>
      <c r="C720" s="28"/>
      <c r="D720" s="28"/>
      <c r="E720" s="28"/>
      <c r="F720" s="28"/>
      <c r="G720" s="28"/>
      <c r="H720" s="28"/>
      <c r="I720" s="38"/>
      <c r="J720" s="39"/>
    </row>
    <row r="721" spans="1:10" x14ac:dyDescent="0.3">
      <c r="A721" s="49"/>
      <c r="B721" s="29"/>
      <c r="C721" s="29"/>
      <c r="D721" s="29"/>
      <c r="E721" s="29"/>
      <c r="F721" s="29"/>
      <c r="G721" s="29"/>
      <c r="H721" s="29"/>
      <c r="I721" s="36"/>
      <c r="J721" s="37"/>
    </row>
    <row r="722" spans="1:10" x14ac:dyDescent="0.3">
      <c r="A722" s="50"/>
      <c r="B722" s="28"/>
      <c r="C722" s="28"/>
      <c r="D722" s="28"/>
      <c r="E722" s="28"/>
      <c r="F722" s="28"/>
      <c r="G722" s="28"/>
      <c r="H722" s="28"/>
      <c r="I722" s="38"/>
      <c r="J722" s="39"/>
    </row>
    <row r="723" spans="1:10" x14ac:dyDescent="0.3">
      <c r="A723" s="49"/>
      <c r="B723" s="29"/>
      <c r="C723" s="29"/>
      <c r="D723" s="29"/>
      <c r="E723" s="29"/>
      <c r="F723" s="29"/>
      <c r="G723" s="29"/>
      <c r="H723" s="29"/>
      <c r="I723" s="36"/>
      <c r="J723" s="37"/>
    </row>
    <row r="724" spans="1:10" x14ac:dyDescent="0.3">
      <c r="A724" s="50"/>
      <c r="B724" s="28"/>
      <c r="C724" s="28"/>
      <c r="D724" s="28"/>
      <c r="E724" s="28"/>
      <c r="F724" s="28"/>
      <c r="G724" s="28"/>
      <c r="H724" s="28"/>
      <c r="I724" s="38"/>
      <c r="J724" s="39"/>
    </row>
    <row r="725" spans="1:10" x14ac:dyDescent="0.3">
      <c r="A725" s="49"/>
      <c r="B725" s="29"/>
      <c r="C725" s="29"/>
      <c r="D725" s="29"/>
      <c r="E725" s="29"/>
      <c r="F725" s="29"/>
      <c r="G725" s="29"/>
      <c r="H725" s="29"/>
      <c r="I725" s="36"/>
      <c r="J725" s="37"/>
    </row>
    <row r="726" spans="1:10" x14ac:dyDescent="0.3">
      <c r="A726" s="50"/>
      <c r="B726" s="28"/>
      <c r="C726" s="28"/>
      <c r="D726" s="28"/>
      <c r="E726" s="28"/>
      <c r="F726" s="28"/>
      <c r="G726" s="28"/>
      <c r="H726" s="28"/>
      <c r="I726" s="38"/>
      <c r="J726" s="39"/>
    </row>
    <row r="727" spans="1:10" x14ac:dyDescent="0.3">
      <c r="A727" s="49"/>
      <c r="B727" s="29"/>
      <c r="C727" s="29"/>
      <c r="D727" s="29"/>
      <c r="E727" s="29"/>
      <c r="F727" s="29"/>
      <c r="G727" s="29"/>
      <c r="H727" s="29"/>
      <c r="I727" s="36"/>
      <c r="J727" s="37"/>
    </row>
    <row r="728" spans="1:10" x14ac:dyDescent="0.3">
      <c r="A728" s="50"/>
      <c r="B728" s="28"/>
      <c r="C728" s="28"/>
      <c r="D728" s="28"/>
      <c r="E728" s="28"/>
      <c r="F728" s="28"/>
      <c r="G728" s="28"/>
      <c r="H728" s="28"/>
      <c r="I728" s="38"/>
      <c r="J728" s="39"/>
    </row>
    <row r="729" spans="1:10" x14ac:dyDescent="0.3">
      <c r="A729" s="49"/>
      <c r="B729" s="29"/>
      <c r="C729" s="29"/>
      <c r="D729" s="29"/>
      <c r="E729" s="29"/>
      <c r="F729" s="29"/>
      <c r="G729" s="29"/>
      <c r="H729" s="29"/>
      <c r="I729" s="36"/>
      <c r="J729" s="37"/>
    </row>
    <row r="730" spans="1:10" x14ac:dyDescent="0.3">
      <c r="A730" s="50"/>
      <c r="B730" s="28"/>
      <c r="C730" s="28"/>
      <c r="D730" s="28"/>
      <c r="E730" s="28"/>
      <c r="F730" s="28"/>
      <c r="G730" s="28"/>
      <c r="H730" s="28"/>
      <c r="I730" s="38"/>
      <c r="J730" s="39"/>
    </row>
    <row r="731" spans="1:10" x14ac:dyDescent="0.3">
      <c r="A731" s="49"/>
      <c r="B731" s="29"/>
      <c r="C731" s="29"/>
      <c r="D731" s="29"/>
      <c r="E731" s="29"/>
      <c r="F731" s="29"/>
      <c r="G731" s="29"/>
      <c r="H731" s="29"/>
      <c r="I731" s="36"/>
      <c r="J731" s="37"/>
    </row>
    <row r="732" spans="1:10" x14ac:dyDescent="0.3">
      <c r="A732" s="50"/>
      <c r="B732" s="28"/>
      <c r="C732" s="28"/>
      <c r="D732" s="28"/>
      <c r="E732" s="28"/>
      <c r="F732" s="28"/>
      <c r="G732" s="28"/>
      <c r="H732" s="28"/>
      <c r="I732" s="38"/>
      <c r="J732" s="39"/>
    </row>
    <row r="733" spans="1:10" x14ac:dyDescent="0.3">
      <c r="A733" s="49"/>
      <c r="B733" s="29"/>
      <c r="C733" s="29"/>
      <c r="D733" s="29"/>
      <c r="E733" s="29"/>
      <c r="F733" s="29"/>
      <c r="G733" s="29"/>
      <c r="H733" s="29"/>
      <c r="I733" s="36"/>
      <c r="J733" s="37"/>
    </row>
    <row r="734" spans="1:10" x14ac:dyDescent="0.3">
      <c r="A734" s="50"/>
      <c r="B734" s="28"/>
      <c r="C734" s="28"/>
      <c r="D734" s="28"/>
      <c r="E734" s="28"/>
      <c r="F734" s="28"/>
      <c r="G734" s="28"/>
      <c r="H734" s="28"/>
      <c r="I734" s="38"/>
      <c r="J734" s="39"/>
    </row>
    <row r="735" spans="1:10" x14ac:dyDescent="0.3">
      <c r="A735" s="49"/>
      <c r="B735" s="29"/>
      <c r="C735" s="29"/>
      <c r="D735" s="29"/>
      <c r="E735" s="29"/>
      <c r="F735" s="29"/>
      <c r="G735" s="29"/>
      <c r="H735" s="29"/>
      <c r="I735" s="36"/>
      <c r="J735" s="37"/>
    </row>
    <row r="736" spans="1:10" x14ac:dyDescent="0.3">
      <c r="A736" s="50"/>
      <c r="B736" s="28"/>
      <c r="C736" s="28"/>
      <c r="D736" s="28"/>
      <c r="E736" s="28"/>
      <c r="F736" s="28"/>
      <c r="G736" s="28"/>
      <c r="H736" s="28"/>
      <c r="I736" s="38"/>
      <c r="J736" s="39"/>
    </row>
    <row r="737" spans="1:10" x14ac:dyDescent="0.3">
      <c r="A737" s="49"/>
      <c r="B737" s="29"/>
      <c r="C737" s="29"/>
      <c r="D737" s="29"/>
      <c r="E737" s="29"/>
      <c r="F737" s="29"/>
      <c r="G737" s="29"/>
      <c r="H737" s="29"/>
      <c r="I737" s="36"/>
      <c r="J737" s="37"/>
    </row>
    <row r="738" spans="1:10" x14ac:dyDescent="0.3">
      <c r="A738" s="50"/>
      <c r="B738" s="28"/>
      <c r="C738" s="28"/>
      <c r="D738" s="28"/>
      <c r="E738" s="28"/>
      <c r="F738" s="28"/>
      <c r="G738" s="28"/>
      <c r="H738" s="28"/>
      <c r="I738" s="38"/>
      <c r="J738" s="39"/>
    </row>
    <row r="739" spans="1:10" x14ac:dyDescent="0.3">
      <c r="A739" s="49"/>
      <c r="B739" s="29"/>
      <c r="C739" s="29"/>
      <c r="D739" s="29"/>
      <c r="E739" s="29"/>
      <c r="F739" s="29"/>
      <c r="G739" s="29"/>
      <c r="H739" s="29"/>
      <c r="I739" s="36"/>
      <c r="J739" s="37"/>
    </row>
    <row r="740" spans="1:10" x14ac:dyDescent="0.3">
      <c r="A740" s="50"/>
      <c r="B740" s="28"/>
      <c r="C740" s="28"/>
      <c r="D740" s="28"/>
      <c r="E740" s="28"/>
      <c r="F740" s="28"/>
      <c r="G740" s="28"/>
      <c r="H740" s="28"/>
      <c r="I740" s="38"/>
      <c r="J740" s="39"/>
    </row>
    <row r="741" spans="1:10" x14ac:dyDescent="0.3">
      <c r="A741" s="49"/>
      <c r="B741" s="29"/>
      <c r="C741" s="29"/>
      <c r="D741" s="29"/>
      <c r="E741" s="29"/>
      <c r="F741" s="29"/>
      <c r="G741" s="29"/>
      <c r="H741" s="29"/>
      <c r="I741" s="36"/>
      <c r="J741" s="37"/>
    </row>
    <row r="742" spans="1:10" x14ac:dyDescent="0.3">
      <c r="A742" s="50"/>
      <c r="B742" s="28"/>
      <c r="C742" s="28"/>
      <c r="D742" s="28"/>
      <c r="E742" s="28"/>
      <c r="F742" s="28"/>
      <c r="G742" s="28"/>
      <c r="H742" s="28"/>
      <c r="I742" s="38"/>
      <c r="J742" s="39"/>
    </row>
    <row r="743" spans="1:10" x14ac:dyDescent="0.3">
      <c r="A743" s="49"/>
      <c r="B743" s="29"/>
      <c r="C743" s="29"/>
      <c r="D743" s="29"/>
      <c r="E743" s="29"/>
      <c r="F743" s="29"/>
      <c r="G743" s="29"/>
      <c r="H743" s="29"/>
      <c r="I743" s="36"/>
      <c r="J743" s="37"/>
    </row>
    <row r="744" spans="1:10" x14ac:dyDescent="0.3">
      <c r="A744" s="50"/>
      <c r="B744" s="28"/>
      <c r="C744" s="28"/>
      <c r="D744" s="28"/>
      <c r="E744" s="28"/>
      <c r="F744" s="28"/>
      <c r="G744" s="28"/>
      <c r="H744" s="28"/>
      <c r="I744" s="38"/>
      <c r="J744" s="39"/>
    </row>
    <row r="745" spans="1:10" x14ac:dyDescent="0.3">
      <c r="A745" s="49"/>
      <c r="B745" s="29"/>
      <c r="C745" s="29"/>
      <c r="D745" s="29"/>
      <c r="E745" s="29"/>
      <c r="F745" s="29"/>
      <c r="G745" s="29"/>
      <c r="H745" s="29"/>
      <c r="I745" s="36"/>
      <c r="J745" s="37"/>
    </row>
    <row r="746" spans="1:10" x14ac:dyDescent="0.3">
      <c r="A746" s="50"/>
      <c r="B746" s="28"/>
      <c r="C746" s="28"/>
      <c r="D746" s="28"/>
      <c r="E746" s="28"/>
      <c r="F746" s="28"/>
      <c r="G746" s="28"/>
      <c r="H746" s="28"/>
      <c r="I746" s="38"/>
      <c r="J746" s="39"/>
    </row>
    <row r="747" spans="1:10" x14ac:dyDescent="0.3">
      <c r="A747" s="49"/>
      <c r="B747" s="29"/>
      <c r="C747" s="29"/>
      <c r="D747" s="29"/>
      <c r="E747" s="29"/>
      <c r="F747" s="29"/>
      <c r="G747" s="29"/>
      <c r="H747" s="29"/>
      <c r="I747" s="36"/>
      <c r="J747" s="37"/>
    </row>
    <row r="748" spans="1:10" x14ac:dyDescent="0.3">
      <c r="A748" s="50"/>
      <c r="B748" s="28"/>
      <c r="C748" s="28"/>
      <c r="D748" s="28"/>
      <c r="E748" s="28"/>
      <c r="F748" s="28"/>
      <c r="G748" s="28"/>
      <c r="H748" s="28"/>
      <c r="I748" s="38"/>
      <c r="J748" s="39"/>
    </row>
    <row r="749" spans="1:10" x14ac:dyDescent="0.3">
      <c r="A749" s="49"/>
      <c r="B749" s="29"/>
      <c r="C749" s="29"/>
      <c r="D749" s="29"/>
      <c r="E749" s="29"/>
      <c r="F749" s="29"/>
      <c r="G749" s="29"/>
      <c r="H749" s="29"/>
      <c r="I749" s="36"/>
      <c r="J749" s="37"/>
    </row>
    <row r="750" spans="1:10" x14ac:dyDescent="0.3">
      <c r="A750" s="50"/>
      <c r="B750" s="28"/>
      <c r="C750" s="28"/>
      <c r="D750" s="28"/>
      <c r="E750" s="28"/>
      <c r="F750" s="28"/>
      <c r="G750" s="28"/>
      <c r="H750" s="28"/>
      <c r="I750" s="38"/>
      <c r="J750" s="39"/>
    </row>
    <row r="751" spans="1:10" x14ac:dyDescent="0.3">
      <c r="A751" s="49"/>
      <c r="B751" s="29"/>
      <c r="C751" s="29"/>
      <c r="D751" s="29"/>
      <c r="E751" s="29"/>
      <c r="F751" s="29"/>
      <c r="G751" s="29"/>
      <c r="H751" s="29"/>
      <c r="I751" s="36"/>
      <c r="J751" s="37"/>
    </row>
    <row r="752" spans="1:10" x14ac:dyDescent="0.3">
      <c r="A752" s="50"/>
      <c r="B752" s="28"/>
      <c r="C752" s="28"/>
      <c r="D752" s="28"/>
      <c r="E752" s="28"/>
      <c r="F752" s="28"/>
      <c r="G752" s="28"/>
      <c r="H752" s="28"/>
      <c r="I752" s="38"/>
      <c r="J752" s="39"/>
    </row>
    <row r="753" spans="1:10" x14ac:dyDescent="0.3">
      <c r="A753" s="49"/>
      <c r="B753" s="29"/>
      <c r="C753" s="29"/>
      <c r="D753" s="29"/>
      <c r="E753" s="29"/>
      <c r="F753" s="29"/>
      <c r="G753" s="29"/>
      <c r="H753" s="29"/>
      <c r="I753" s="36"/>
      <c r="J753" s="37"/>
    </row>
    <row r="754" spans="1:10" x14ac:dyDescent="0.3">
      <c r="A754" s="50"/>
      <c r="B754" s="28"/>
      <c r="C754" s="28"/>
      <c r="D754" s="28"/>
      <c r="E754" s="28"/>
      <c r="F754" s="28"/>
      <c r="G754" s="28"/>
      <c r="H754" s="28"/>
      <c r="I754" s="38"/>
      <c r="J754" s="39"/>
    </row>
    <row r="755" spans="1:10" x14ac:dyDescent="0.3">
      <c r="A755" s="49"/>
      <c r="B755" s="29"/>
      <c r="C755" s="29"/>
      <c r="D755" s="29"/>
      <c r="E755" s="29"/>
      <c r="F755" s="29"/>
      <c r="G755" s="29"/>
      <c r="H755" s="29"/>
      <c r="I755" s="36"/>
      <c r="J755" s="37"/>
    </row>
    <row r="756" spans="1:10" x14ac:dyDescent="0.3">
      <c r="A756" s="50"/>
      <c r="B756" s="28"/>
      <c r="C756" s="28"/>
      <c r="D756" s="28"/>
      <c r="E756" s="28"/>
      <c r="F756" s="28"/>
      <c r="G756" s="28"/>
      <c r="H756" s="28"/>
      <c r="I756" s="38"/>
      <c r="J756" s="39"/>
    </row>
    <row r="757" spans="1:10" x14ac:dyDescent="0.3">
      <c r="A757" s="49"/>
      <c r="B757" s="29"/>
      <c r="C757" s="29"/>
      <c r="D757" s="29"/>
      <c r="E757" s="29"/>
      <c r="F757" s="29"/>
      <c r="G757" s="29"/>
      <c r="H757" s="29"/>
      <c r="I757" s="36"/>
      <c r="J757" s="37"/>
    </row>
    <row r="758" spans="1:10" x14ac:dyDescent="0.3">
      <c r="A758" s="50"/>
      <c r="B758" s="28"/>
      <c r="C758" s="28"/>
      <c r="D758" s="28"/>
      <c r="E758" s="28"/>
      <c r="F758" s="28"/>
      <c r="G758" s="28"/>
      <c r="H758" s="28"/>
      <c r="I758" s="38"/>
      <c r="J758" s="39"/>
    </row>
    <row r="759" spans="1:10" x14ac:dyDescent="0.3">
      <c r="A759" s="49"/>
      <c r="B759" s="29"/>
      <c r="C759" s="29"/>
      <c r="D759" s="29"/>
      <c r="E759" s="29"/>
      <c r="F759" s="29"/>
      <c r="G759" s="29"/>
      <c r="H759" s="29"/>
      <c r="I759" s="36"/>
      <c r="J759" s="37"/>
    </row>
    <row r="760" spans="1:10" x14ac:dyDescent="0.3">
      <c r="A760" s="50"/>
      <c r="B760" s="28"/>
      <c r="C760" s="28"/>
      <c r="D760" s="28"/>
      <c r="E760" s="28"/>
      <c r="F760" s="28"/>
      <c r="G760" s="28"/>
      <c r="H760" s="28"/>
      <c r="I760" s="38"/>
      <c r="J760" s="39"/>
    </row>
    <row r="761" spans="1:10" x14ac:dyDescent="0.3">
      <c r="A761" s="49"/>
      <c r="B761" s="29"/>
      <c r="C761" s="29"/>
      <c r="D761" s="29"/>
      <c r="E761" s="29"/>
      <c r="F761" s="29"/>
      <c r="G761" s="29"/>
      <c r="H761" s="29"/>
      <c r="I761" s="36"/>
      <c r="J761" s="37"/>
    </row>
    <row r="762" spans="1:10" x14ac:dyDescent="0.3">
      <c r="A762" s="50"/>
      <c r="B762" s="28"/>
      <c r="C762" s="28"/>
      <c r="D762" s="28"/>
      <c r="E762" s="28"/>
      <c r="F762" s="28"/>
      <c r="G762" s="28"/>
      <c r="H762" s="28"/>
      <c r="I762" s="38"/>
      <c r="J762" s="39"/>
    </row>
    <row r="763" spans="1:10" x14ac:dyDescent="0.3">
      <c r="A763" s="49"/>
      <c r="B763" s="29"/>
      <c r="C763" s="29"/>
      <c r="D763" s="29"/>
      <c r="E763" s="29"/>
      <c r="F763" s="29"/>
      <c r="G763" s="29"/>
      <c r="H763" s="29"/>
      <c r="I763" s="36"/>
      <c r="J763" s="37"/>
    </row>
    <row r="764" spans="1:10" x14ac:dyDescent="0.3">
      <c r="A764" s="50"/>
      <c r="B764" s="28"/>
      <c r="C764" s="28"/>
      <c r="D764" s="28"/>
      <c r="E764" s="28"/>
      <c r="F764" s="28"/>
      <c r="G764" s="28"/>
      <c r="H764" s="28"/>
      <c r="I764" s="38"/>
      <c r="J764" s="39"/>
    </row>
    <row r="765" spans="1:10" x14ac:dyDescent="0.3">
      <c r="A765" s="49"/>
      <c r="B765" s="29"/>
      <c r="C765" s="29"/>
      <c r="D765" s="29"/>
      <c r="E765" s="29"/>
      <c r="F765" s="29"/>
      <c r="G765" s="29"/>
      <c r="H765" s="29"/>
      <c r="I765" s="36"/>
      <c r="J765" s="37"/>
    </row>
    <row r="766" spans="1:10" x14ac:dyDescent="0.3">
      <c r="A766" s="50"/>
      <c r="B766" s="28"/>
      <c r="C766" s="28"/>
      <c r="D766" s="28"/>
      <c r="E766" s="28"/>
      <c r="F766" s="28"/>
      <c r="G766" s="28"/>
      <c r="H766" s="28"/>
      <c r="I766" s="38"/>
      <c r="J766" s="39"/>
    </row>
    <row r="767" spans="1:10" x14ac:dyDescent="0.3">
      <c r="A767" s="49"/>
      <c r="B767" s="29"/>
      <c r="C767" s="29"/>
      <c r="D767" s="29"/>
      <c r="E767" s="29"/>
      <c r="F767" s="29"/>
      <c r="G767" s="29"/>
      <c r="H767" s="29"/>
      <c r="I767" s="36"/>
      <c r="J767" s="37"/>
    </row>
    <row r="768" spans="1:10" x14ac:dyDescent="0.3">
      <c r="A768" s="50"/>
      <c r="B768" s="28"/>
      <c r="C768" s="28"/>
      <c r="D768" s="28"/>
      <c r="E768" s="28"/>
      <c r="F768" s="28"/>
      <c r="G768" s="28"/>
      <c r="H768" s="28"/>
      <c r="I768" s="38"/>
      <c r="J768" s="39"/>
    </row>
    <row r="769" spans="1:10" x14ac:dyDescent="0.3">
      <c r="A769" s="49"/>
      <c r="B769" s="29"/>
      <c r="C769" s="29"/>
      <c r="D769" s="29"/>
      <c r="E769" s="29"/>
      <c r="F769" s="29"/>
      <c r="G769" s="29"/>
      <c r="H769" s="29"/>
      <c r="I769" s="36"/>
      <c r="J769" s="37"/>
    </row>
    <row r="770" spans="1:10" x14ac:dyDescent="0.3">
      <c r="A770" s="50"/>
      <c r="B770" s="28"/>
      <c r="C770" s="28"/>
      <c r="D770" s="28"/>
      <c r="E770" s="28"/>
      <c r="F770" s="28"/>
      <c r="G770" s="28"/>
      <c r="H770" s="28"/>
      <c r="I770" s="38"/>
      <c r="J770" s="39"/>
    </row>
    <row r="771" spans="1:10" x14ac:dyDescent="0.3">
      <c r="A771" s="49"/>
      <c r="B771" s="29"/>
      <c r="C771" s="29"/>
      <c r="D771" s="29"/>
      <c r="E771" s="29"/>
      <c r="F771" s="29"/>
      <c r="G771" s="29"/>
      <c r="H771" s="29"/>
      <c r="I771" s="36"/>
      <c r="J771" s="37"/>
    </row>
    <row r="772" spans="1:10" x14ac:dyDescent="0.3">
      <c r="A772" s="50"/>
      <c r="B772" s="28"/>
      <c r="C772" s="28"/>
      <c r="D772" s="28"/>
      <c r="E772" s="28"/>
      <c r="F772" s="28"/>
      <c r="G772" s="28"/>
      <c r="H772" s="28"/>
      <c r="I772" s="38"/>
      <c r="J772" s="39"/>
    </row>
    <row r="773" spans="1:10" x14ac:dyDescent="0.3">
      <c r="A773" s="49"/>
      <c r="B773" s="29"/>
      <c r="C773" s="29"/>
      <c r="D773" s="29"/>
      <c r="E773" s="29"/>
      <c r="F773" s="29"/>
      <c r="G773" s="29"/>
      <c r="H773" s="29"/>
      <c r="I773" s="36"/>
      <c r="J773" s="37"/>
    </row>
    <row r="774" spans="1:10" x14ac:dyDescent="0.3">
      <c r="A774" s="50"/>
      <c r="B774" s="28"/>
      <c r="C774" s="28"/>
      <c r="D774" s="28"/>
      <c r="E774" s="28"/>
      <c r="F774" s="28"/>
      <c r="G774" s="28"/>
      <c r="H774" s="28"/>
      <c r="I774" s="38"/>
      <c r="J774" s="39"/>
    </row>
    <row r="775" spans="1:10" x14ac:dyDescent="0.3">
      <c r="A775" s="49"/>
      <c r="B775" s="29"/>
      <c r="C775" s="29"/>
      <c r="D775" s="29"/>
      <c r="E775" s="29"/>
      <c r="F775" s="29"/>
      <c r="G775" s="29"/>
      <c r="H775" s="29"/>
      <c r="I775" s="36"/>
      <c r="J775" s="37"/>
    </row>
    <row r="776" spans="1:10" x14ac:dyDescent="0.3">
      <c r="A776" s="50"/>
      <c r="B776" s="28"/>
      <c r="C776" s="28"/>
      <c r="D776" s="28"/>
      <c r="E776" s="28"/>
      <c r="F776" s="28"/>
      <c r="G776" s="28"/>
      <c r="H776" s="28"/>
      <c r="I776" s="38"/>
      <c r="J776" s="39"/>
    </row>
    <row r="777" spans="1:10" x14ac:dyDescent="0.3">
      <c r="A777" s="49"/>
      <c r="B777" s="29"/>
      <c r="C777" s="29"/>
      <c r="D777" s="29"/>
      <c r="E777" s="29"/>
      <c r="F777" s="29"/>
      <c r="G777" s="29"/>
      <c r="H777" s="29"/>
      <c r="I777" s="36"/>
      <c r="J777" s="37"/>
    </row>
    <row r="778" spans="1:10" x14ac:dyDescent="0.3">
      <c r="A778" s="50"/>
      <c r="B778" s="28"/>
      <c r="C778" s="28"/>
      <c r="D778" s="28"/>
      <c r="E778" s="28"/>
      <c r="F778" s="28"/>
      <c r="G778" s="28"/>
      <c r="H778" s="28"/>
      <c r="I778" s="38"/>
      <c r="J778" s="39"/>
    </row>
    <row r="779" spans="1:10" x14ac:dyDescent="0.3">
      <c r="A779" s="49"/>
      <c r="B779" s="29"/>
      <c r="C779" s="29"/>
      <c r="D779" s="29"/>
      <c r="E779" s="29"/>
      <c r="F779" s="29"/>
      <c r="G779" s="29"/>
      <c r="H779" s="29"/>
      <c r="I779" s="36"/>
      <c r="J779" s="37"/>
    </row>
    <row r="780" spans="1:10" x14ac:dyDescent="0.3">
      <c r="A780" s="50"/>
      <c r="B780" s="28"/>
      <c r="C780" s="28"/>
      <c r="D780" s="28"/>
      <c r="E780" s="28"/>
      <c r="F780" s="28"/>
      <c r="G780" s="28"/>
      <c r="H780" s="28"/>
      <c r="I780" s="38"/>
      <c r="J780" s="39"/>
    </row>
    <row r="781" spans="1:10" x14ac:dyDescent="0.3">
      <c r="A781" s="49"/>
      <c r="B781" s="29"/>
      <c r="C781" s="29"/>
      <c r="D781" s="29"/>
      <c r="E781" s="29"/>
      <c r="F781" s="29"/>
      <c r="G781" s="29"/>
      <c r="H781" s="29"/>
      <c r="I781" s="36"/>
      <c r="J781" s="37"/>
    </row>
    <row r="782" spans="1:10" x14ac:dyDescent="0.3">
      <c r="A782" s="50"/>
      <c r="B782" s="28"/>
      <c r="C782" s="28"/>
      <c r="D782" s="28"/>
      <c r="E782" s="28"/>
      <c r="F782" s="28"/>
      <c r="G782" s="28"/>
      <c r="H782" s="28"/>
      <c r="I782" s="38"/>
      <c r="J782" s="39"/>
    </row>
    <row r="783" spans="1:10" x14ac:dyDescent="0.3">
      <c r="A783" s="49"/>
      <c r="B783" s="29"/>
      <c r="C783" s="29"/>
      <c r="D783" s="29"/>
      <c r="E783" s="29"/>
      <c r="F783" s="29"/>
      <c r="G783" s="29"/>
      <c r="H783" s="29"/>
      <c r="I783" s="36"/>
      <c r="J783" s="37"/>
    </row>
    <row r="784" spans="1:10" x14ac:dyDescent="0.3">
      <c r="A784" s="50"/>
      <c r="B784" s="28"/>
      <c r="C784" s="28"/>
      <c r="D784" s="28"/>
      <c r="E784" s="28"/>
      <c r="F784" s="28"/>
      <c r="G784" s="28"/>
      <c r="H784" s="28"/>
      <c r="I784" s="38"/>
      <c r="J784" s="39"/>
    </row>
    <row r="785" spans="1:10" x14ac:dyDescent="0.3">
      <c r="A785" s="49"/>
      <c r="B785" s="29"/>
      <c r="C785" s="29"/>
      <c r="D785" s="29"/>
      <c r="E785" s="29"/>
      <c r="F785" s="29"/>
      <c r="G785" s="29"/>
      <c r="H785" s="29"/>
      <c r="I785" s="36"/>
      <c r="J785" s="37"/>
    </row>
    <row r="786" spans="1:10" x14ac:dyDescent="0.3">
      <c r="A786" s="50"/>
      <c r="B786" s="28"/>
      <c r="C786" s="28"/>
      <c r="D786" s="28"/>
      <c r="E786" s="28"/>
      <c r="F786" s="28"/>
      <c r="G786" s="28"/>
      <c r="H786" s="28"/>
      <c r="I786" s="38"/>
      <c r="J786" s="39"/>
    </row>
    <row r="787" spans="1:10" x14ac:dyDescent="0.3">
      <c r="A787" s="49"/>
      <c r="B787" s="29"/>
      <c r="C787" s="29"/>
      <c r="D787" s="29"/>
      <c r="E787" s="29"/>
      <c r="F787" s="29"/>
      <c r="G787" s="29"/>
      <c r="H787" s="29"/>
      <c r="I787" s="36"/>
      <c r="J787" s="37"/>
    </row>
    <row r="788" spans="1:10" x14ac:dyDescent="0.3">
      <c r="A788" s="50"/>
      <c r="B788" s="28"/>
      <c r="C788" s="28"/>
      <c r="D788" s="28"/>
      <c r="E788" s="28"/>
      <c r="F788" s="28"/>
      <c r="G788" s="28"/>
      <c r="H788" s="28"/>
      <c r="I788" s="38"/>
      <c r="J788" s="39"/>
    </row>
    <row r="789" spans="1:10" x14ac:dyDescent="0.3">
      <c r="A789" s="49"/>
      <c r="B789" s="29"/>
      <c r="C789" s="29"/>
      <c r="D789" s="29"/>
      <c r="E789" s="29"/>
      <c r="F789" s="29"/>
      <c r="G789" s="29"/>
      <c r="H789" s="29"/>
      <c r="I789" s="36"/>
      <c r="J789" s="37"/>
    </row>
    <row r="790" spans="1:10" x14ac:dyDescent="0.3">
      <c r="A790" s="50"/>
      <c r="B790" s="28"/>
      <c r="C790" s="28"/>
      <c r="D790" s="28"/>
      <c r="E790" s="28"/>
      <c r="F790" s="28"/>
      <c r="G790" s="28"/>
      <c r="H790" s="28"/>
      <c r="I790" s="38"/>
      <c r="J790" s="39"/>
    </row>
    <row r="791" spans="1:10" x14ac:dyDescent="0.3">
      <c r="A791" s="49"/>
      <c r="B791" s="29"/>
      <c r="C791" s="29"/>
      <c r="D791" s="29"/>
      <c r="E791" s="29"/>
      <c r="F791" s="29"/>
      <c r="G791" s="29"/>
      <c r="H791" s="29"/>
      <c r="I791" s="36"/>
      <c r="J791" s="37"/>
    </row>
    <row r="792" spans="1:10" x14ac:dyDescent="0.3">
      <c r="A792" s="50"/>
      <c r="B792" s="28"/>
      <c r="C792" s="28"/>
      <c r="D792" s="28"/>
      <c r="E792" s="28"/>
      <c r="F792" s="28"/>
      <c r="G792" s="28"/>
      <c r="H792" s="28"/>
      <c r="I792" s="38"/>
      <c r="J792" s="39"/>
    </row>
    <row r="793" spans="1:10" x14ac:dyDescent="0.3">
      <c r="A793" s="49"/>
      <c r="B793" s="29"/>
      <c r="C793" s="29"/>
      <c r="D793" s="29"/>
      <c r="E793" s="29"/>
      <c r="F793" s="29"/>
      <c r="G793" s="29"/>
      <c r="H793" s="29"/>
      <c r="I793" s="36"/>
      <c r="J793" s="37"/>
    </row>
    <row r="794" spans="1:10" x14ac:dyDescent="0.3">
      <c r="A794" s="50"/>
      <c r="B794" s="28"/>
      <c r="C794" s="28"/>
      <c r="D794" s="28"/>
      <c r="E794" s="28"/>
      <c r="F794" s="28"/>
      <c r="G794" s="28"/>
      <c r="H794" s="28"/>
      <c r="I794" s="38"/>
      <c r="J794" s="39"/>
    </row>
    <row r="795" spans="1:10" x14ac:dyDescent="0.3">
      <c r="A795" s="49"/>
      <c r="B795" s="29"/>
      <c r="C795" s="29"/>
      <c r="D795" s="29"/>
      <c r="E795" s="29"/>
      <c r="F795" s="29"/>
      <c r="G795" s="29"/>
      <c r="H795" s="29"/>
      <c r="I795" s="36"/>
      <c r="J795" s="37"/>
    </row>
    <row r="796" spans="1:10" x14ac:dyDescent="0.3">
      <c r="A796" s="50"/>
      <c r="B796" s="28"/>
      <c r="C796" s="28"/>
      <c r="D796" s="28"/>
      <c r="E796" s="28"/>
      <c r="F796" s="28"/>
      <c r="G796" s="28"/>
      <c r="H796" s="28"/>
      <c r="I796" s="38"/>
      <c r="J796" s="39"/>
    </row>
    <row r="797" spans="1:10" x14ac:dyDescent="0.3">
      <c r="A797" s="49"/>
      <c r="B797" s="29"/>
      <c r="C797" s="29"/>
      <c r="D797" s="29"/>
      <c r="E797" s="29"/>
      <c r="F797" s="29"/>
      <c r="G797" s="29"/>
      <c r="H797" s="29"/>
      <c r="I797" s="36"/>
      <c r="J797" s="37"/>
    </row>
    <row r="798" spans="1:10" x14ac:dyDescent="0.3">
      <c r="A798" s="50"/>
      <c r="B798" s="28"/>
      <c r="C798" s="28"/>
      <c r="D798" s="28"/>
      <c r="E798" s="28"/>
      <c r="F798" s="28"/>
      <c r="G798" s="28"/>
      <c r="H798" s="28"/>
      <c r="I798" s="38"/>
      <c r="J798" s="39"/>
    </row>
    <row r="799" spans="1:10" x14ac:dyDescent="0.3">
      <c r="A799" s="49"/>
      <c r="B799" s="29"/>
      <c r="C799" s="29"/>
      <c r="D799" s="29"/>
      <c r="E799" s="29"/>
      <c r="F799" s="29"/>
      <c r="G799" s="29"/>
      <c r="H799" s="29"/>
      <c r="I799" s="36"/>
      <c r="J799" s="37"/>
    </row>
    <row r="800" spans="1:10" x14ac:dyDescent="0.3">
      <c r="A800" s="50"/>
      <c r="B800" s="28"/>
      <c r="C800" s="28"/>
      <c r="D800" s="28"/>
      <c r="E800" s="28"/>
      <c r="F800" s="28"/>
      <c r="G800" s="28"/>
      <c r="H800" s="28"/>
      <c r="I800" s="38"/>
      <c r="J800" s="39"/>
    </row>
    <row r="801" spans="1:10" x14ac:dyDescent="0.3">
      <c r="A801" s="49"/>
      <c r="B801" s="29"/>
      <c r="C801" s="29"/>
      <c r="D801" s="29"/>
      <c r="E801" s="29"/>
      <c r="F801" s="29"/>
      <c r="G801" s="29"/>
      <c r="H801" s="29"/>
      <c r="I801" s="36"/>
      <c r="J801" s="37"/>
    </row>
    <row r="802" spans="1:10" x14ac:dyDescent="0.3">
      <c r="A802" s="50"/>
      <c r="B802" s="28"/>
      <c r="C802" s="28"/>
      <c r="D802" s="28"/>
      <c r="E802" s="28"/>
      <c r="F802" s="28"/>
      <c r="G802" s="28"/>
      <c r="H802" s="28"/>
      <c r="I802" s="38"/>
      <c r="J802" s="39"/>
    </row>
    <row r="803" spans="1:10" x14ac:dyDescent="0.3">
      <c r="A803" s="49"/>
      <c r="B803" s="29"/>
      <c r="C803" s="29"/>
      <c r="D803" s="29"/>
      <c r="E803" s="29"/>
      <c r="F803" s="29"/>
      <c r="G803" s="29"/>
      <c r="H803" s="29"/>
      <c r="I803" s="36"/>
      <c r="J803" s="37"/>
    </row>
    <row r="804" spans="1:10" x14ac:dyDescent="0.3">
      <c r="A804" s="50"/>
      <c r="B804" s="28"/>
      <c r="C804" s="28"/>
      <c r="D804" s="28"/>
      <c r="E804" s="28"/>
      <c r="F804" s="28"/>
      <c r="G804" s="28"/>
      <c r="H804" s="28"/>
      <c r="I804" s="38"/>
      <c r="J804" s="39"/>
    </row>
    <row r="805" spans="1:10" x14ac:dyDescent="0.3">
      <c r="A805" s="49"/>
      <c r="B805" s="29"/>
      <c r="C805" s="29"/>
      <c r="D805" s="29"/>
      <c r="E805" s="29"/>
      <c r="F805" s="29"/>
      <c r="G805" s="29"/>
      <c r="H805" s="29"/>
      <c r="I805" s="36"/>
      <c r="J805" s="37"/>
    </row>
    <row r="806" spans="1:10" x14ac:dyDescent="0.3">
      <c r="A806" s="50"/>
      <c r="B806" s="28"/>
      <c r="C806" s="28"/>
      <c r="D806" s="28"/>
      <c r="E806" s="28"/>
      <c r="F806" s="28"/>
      <c r="G806" s="28"/>
      <c r="H806" s="28"/>
      <c r="I806" s="38"/>
      <c r="J806" s="39"/>
    </row>
    <row r="807" spans="1:10" x14ac:dyDescent="0.3">
      <c r="A807" s="49"/>
      <c r="B807" s="29"/>
      <c r="C807" s="29"/>
      <c r="D807" s="29"/>
      <c r="E807" s="29"/>
      <c r="F807" s="29"/>
      <c r="G807" s="29"/>
      <c r="H807" s="29"/>
      <c r="I807" s="36"/>
      <c r="J807" s="37"/>
    </row>
    <row r="808" spans="1:10" x14ac:dyDescent="0.3">
      <c r="A808" s="50"/>
      <c r="B808" s="28"/>
      <c r="C808" s="28"/>
      <c r="D808" s="28"/>
      <c r="E808" s="28"/>
      <c r="F808" s="28"/>
      <c r="G808" s="28"/>
      <c r="H808" s="28"/>
      <c r="I808" s="38"/>
      <c r="J808" s="39"/>
    </row>
    <row r="809" spans="1:10" x14ac:dyDescent="0.3">
      <c r="A809" s="49"/>
      <c r="B809" s="29"/>
      <c r="C809" s="29"/>
      <c r="D809" s="29"/>
      <c r="E809" s="29"/>
      <c r="F809" s="29"/>
      <c r="G809" s="29"/>
      <c r="H809" s="29"/>
      <c r="I809" s="36"/>
      <c r="J809" s="37"/>
    </row>
    <row r="810" spans="1:10" x14ac:dyDescent="0.3">
      <c r="A810" s="50"/>
      <c r="B810" s="28"/>
      <c r="C810" s="28"/>
      <c r="D810" s="28"/>
      <c r="E810" s="28"/>
      <c r="F810" s="28"/>
      <c r="G810" s="28"/>
      <c r="H810" s="28"/>
      <c r="I810" s="38"/>
      <c r="J810" s="39"/>
    </row>
    <row r="811" spans="1:10" x14ac:dyDescent="0.3">
      <c r="A811" s="49"/>
      <c r="B811" s="29"/>
      <c r="C811" s="29"/>
      <c r="D811" s="29"/>
      <c r="E811" s="29"/>
      <c r="F811" s="29"/>
      <c r="G811" s="29"/>
      <c r="H811" s="29"/>
      <c r="I811" s="36"/>
      <c r="J811" s="37"/>
    </row>
    <row r="812" spans="1:10" x14ac:dyDescent="0.3">
      <c r="A812" s="50"/>
      <c r="B812" s="28"/>
      <c r="C812" s="28"/>
      <c r="D812" s="28"/>
      <c r="E812" s="28"/>
      <c r="F812" s="28"/>
      <c r="G812" s="28"/>
      <c r="H812" s="28"/>
      <c r="I812" s="38"/>
      <c r="J812" s="39"/>
    </row>
    <row r="813" spans="1:10" x14ac:dyDescent="0.3">
      <c r="A813" s="49"/>
      <c r="B813" s="29"/>
      <c r="C813" s="29"/>
      <c r="D813" s="29"/>
      <c r="E813" s="29"/>
      <c r="F813" s="29"/>
      <c r="G813" s="29"/>
      <c r="H813" s="29"/>
      <c r="I813" s="36"/>
      <c r="J813" s="37"/>
    </row>
    <row r="814" spans="1:10" x14ac:dyDescent="0.3">
      <c r="A814" s="50"/>
      <c r="B814" s="28"/>
      <c r="C814" s="28"/>
      <c r="D814" s="28"/>
      <c r="E814" s="28"/>
      <c r="F814" s="28"/>
      <c r="G814" s="28"/>
      <c r="H814" s="28"/>
      <c r="I814" s="38"/>
      <c r="J814" s="39"/>
    </row>
    <row r="815" spans="1:10" x14ac:dyDescent="0.3">
      <c r="A815" s="49"/>
      <c r="B815" s="29"/>
      <c r="C815" s="29"/>
      <c r="D815" s="29"/>
      <c r="E815" s="29"/>
      <c r="F815" s="29"/>
      <c r="G815" s="29"/>
      <c r="H815" s="29"/>
      <c r="I815" s="36"/>
      <c r="J815" s="37"/>
    </row>
    <row r="816" spans="1:10" x14ac:dyDescent="0.3">
      <c r="A816" s="50"/>
      <c r="B816" s="28"/>
      <c r="C816" s="28"/>
      <c r="D816" s="28"/>
      <c r="E816" s="28"/>
      <c r="F816" s="28"/>
      <c r="G816" s="28"/>
      <c r="H816" s="28"/>
      <c r="I816" s="38"/>
      <c r="J816" s="39"/>
    </row>
    <row r="817" spans="1:10" x14ac:dyDescent="0.3">
      <c r="A817" s="49"/>
      <c r="B817" s="29"/>
      <c r="C817" s="29"/>
      <c r="D817" s="29"/>
      <c r="E817" s="29"/>
      <c r="F817" s="29"/>
      <c r="G817" s="29"/>
      <c r="H817" s="29"/>
      <c r="I817" s="36"/>
      <c r="J817" s="37"/>
    </row>
    <row r="818" spans="1:10" x14ac:dyDescent="0.3">
      <c r="A818" s="50"/>
      <c r="B818" s="28"/>
      <c r="C818" s="28"/>
      <c r="D818" s="28"/>
      <c r="E818" s="28"/>
      <c r="F818" s="28"/>
      <c r="G818" s="28"/>
      <c r="H818" s="28"/>
      <c r="I818" s="38"/>
      <c r="J818" s="39"/>
    </row>
    <row r="819" spans="1:10" x14ac:dyDescent="0.3">
      <c r="A819" s="49"/>
      <c r="B819" s="29"/>
      <c r="C819" s="29"/>
      <c r="D819" s="29"/>
      <c r="E819" s="29"/>
      <c r="F819" s="29"/>
      <c r="G819" s="29"/>
      <c r="H819" s="29"/>
      <c r="I819" s="36"/>
      <c r="J819" s="37"/>
    </row>
    <row r="820" spans="1:10" x14ac:dyDescent="0.3">
      <c r="A820" s="50"/>
      <c r="B820" s="28"/>
      <c r="C820" s="28"/>
      <c r="D820" s="28"/>
      <c r="E820" s="28"/>
      <c r="F820" s="28"/>
      <c r="G820" s="28"/>
      <c r="H820" s="28"/>
      <c r="I820" s="38"/>
      <c r="J820" s="39"/>
    </row>
    <row r="821" spans="1:10" x14ac:dyDescent="0.3">
      <c r="A821" s="49"/>
      <c r="B821" s="29"/>
      <c r="C821" s="29"/>
      <c r="D821" s="29"/>
      <c r="E821" s="29"/>
      <c r="F821" s="29"/>
      <c r="G821" s="29"/>
      <c r="H821" s="29"/>
      <c r="I821" s="36"/>
      <c r="J821" s="37"/>
    </row>
    <row r="822" spans="1:10" x14ac:dyDescent="0.3">
      <c r="A822" s="50"/>
      <c r="B822" s="28"/>
      <c r="C822" s="28"/>
      <c r="D822" s="28"/>
      <c r="E822" s="28"/>
      <c r="F822" s="28"/>
      <c r="G822" s="28"/>
      <c r="H822" s="28"/>
      <c r="I822" s="38"/>
      <c r="J822" s="39"/>
    </row>
    <row r="823" spans="1:10" x14ac:dyDescent="0.3">
      <c r="A823" s="49"/>
      <c r="B823" s="29"/>
      <c r="C823" s="29"/>
      <c r="D823" s="29"/>
      <c r="E823" s="29"/>
      <c r="F823" s="29"/>
      <c r="G823" s="29"/>
      <c r="H823" s="29"/>
      <c r="I823" s="36"/>
      <c r="J823" s="37"/>
    </row>
    <row r="824" spans="1:10" x14ac:dyDescent="0.3">
      <c r="A824" s="50"/>
      <c r="B824" s="28"/>
      <c r="C824" s="28"/>
      <c r="D824" s="28"/>
      <c r="E824" s="28"/>
      <c r="F824" s="28"/>
      <c r="G824" s="28"/>
      <c r="H824" s="28"/>
      <c r="I824" s="38"/>
      <c r="J824" s="39"/>
    </row>
    <row r="825" spans="1:10" x14ac:dyDescent="0.3">
      <c r="A825" s="49"/>
      <c r="B825" s="29"/>
      <c r="C825" s="29"/>
      <c r="D825" s="29"/>
      <c r="E825" s="29"/>
      <c r="F825" s="29"/>
      <c r="G825" s="29"/>
      <c r="H825" s="29"/>
      <c r="I825" s="36"/>
      <c r="J825" s="37"/>
    </row>
    <row r="826" spans="1:10" x14ac:dyDescent="0.3">
      <c r="A826" s="50"/>
      <c r="B826" s="28"/>
      <c r="C826" s="28"/>
      <c r="D826" s="28"/>
      <c r="E826" s="28"/>
      <c r="F826" s="28"/>
      <c r="G826" s="28"/>
      <c r="H826" s="28"/>
      <c r="I826" s="38"/>
      <c r="J826" s="39"/>
    </row>
    <row r="827" spans="1:10" x14ac:dyDescent="0.3">
      <c r="A827" s="49"/>
      <c r="B827" s="29"/>
      <c r="C827" s="29"/>
      <c r="D827" s="29"/>
      <c r="E827" s="29"/>
      <c r="F827" s="29"/>
      <c r="G827" s="29"/>
      <c r="H827" s="29"/>
      <c r="I827" s="36"/>
      <c r="J827" s="37"/>
    </row>
    <row r="828" spans="1:10" x14ac:dyDescent="0.3">
      <c r="A828" s="50"/>
      <c r="B828" s="28"/>
      <c r="C828" s="28"/>
      <c r="D828" s="28"/>
      <c r="E828" s="28"/>
      <c r="F828" s="28"/>
      <c r="G828" s="28"/>
      <c r="H828" s="28"/>
      <c r="I828" s="38"/>
      <c r="J828" s="39"/>
    </row>
    <row r="829" spans="1:10" x14ac:dyDescent="0.3">
      <c r="A829" s="49"/>
      <c r="B829" s="29"/>
      <c r="C829" s="29"/>
      <c r="D829" s="29"/>
      <c r="E829" s="29"/>
      <c r="F829" s="29"/>
      <c r="G829" s="29"/>
      <c r="H829" s="29"/>
      <c r="I829" s="36"/>
      <c r="J829" s="37"/>
    </row>
    <row r="830" spans="1:10" x14ac:dyDescent="0.3">
      <c r="A830" s="50"/>
      <c r="B830" s="28"/>
      <c r="C830" s="28"/>
      <c r="D830" s="28"/>
      <c r="E830" s="28"/>
      <c r="F830" s="28"/>
      <c r="G830" s="28"/>
      <c r="H830" s="28"/>
      <c r="I830" s="38"/>
      <c r="J830" s="39"/>
    </row>
    <row r="831" spans="1:10" x14ac:dyDescent="0.3">
      <c r="A831" s="49"/>
      <c r="B831" s="29"/>
      <c r="C831" s="29"/>
      <c r="D831" s="29"/>
      <c r="E831" s="29"/>
      <c r="F831" s="29"/>
      <c r="G831" s="29"/>
      <c r="H831" s="29"/>
      <c r="I831" s="36"/>
      <c r="J831" s="37"/>
    </row>
    <row r="832" spans="1:10" x14ac:dyDescent="0.3">
      <c r="A832" s="50"/>
      <c r="B832" s="28"/>
      <c r="C832" s="28"/>
      <c r="D832" s="28"/>
      <c r="E832" s="28"/>
      <c r="F832" s="28"/>
      <c r="G832" s="28"/>
      <c r="H832" s="28"/>
      <c r="I832" s="38"/>
      <c r="J832" s="39"/>
    </row>
    <row r="833" spans="1:10" x14ac:dyDescent="0.3">
      <c r="A833" s="49"/>
      <c r="B833" s="29"/>
      <c r="C833" s="29"/>
      <c r="D833" s="29"/>
      <c r="E833" s="29"/>
      <c r="F833" s="29"/>
      <c r="G833" s="29"/>
      <c r="H833" s="29"/>
      <c r="I833" s="36"/>
      <c r="J833" s="37"/>
    </row>
    <row r="834" spans="1:10" x14ac:dyDescent="0.3">
      <c r="A834" s="50"/>
      <c r="B834" s="28"/>
      <c r="C834" s="28"/>
      <c r="D834" s="28"/>
      <c r="E834" s="28"/>
      <c r="F834" s="28"/>
      <c r="G834" s="28"/>
      <c r="H834" s="28"/>
      <c r="I834" s="38"/>
      <c r="J834" s="39"/>
    </row>
    <row r="835" spans="1:10" x14ac:dyDescent="0.3">
      <c r="A835" s="49"/>
      <c r="B835" s="29"/>
      <c r="C835" s="29"/>
      <c r="D835" s="29"/>
      <c r="E835" s="29"/>
      <c r="F835" s="29"/>
      <c r="G835" s="29"/>
      <c r="H835" s="29"/>
      <c r="I835" s="36"/>
      <c r="J835" s="37"/>
    </row>
    <row r="836" spans="1:10" x14ac:dyDescent="0.3">
      <c r="A836" s="50"/>
      <c r="B836" s="28"/>
      <c r="C836" s="28"/>
      <c r="D836" s="28"/>
      <c r="E836" s="28"/>
      <c r="F836" s="28"/>
      <c r="G836" s="28"/>
      <c r="H836" s="28"/>
      <c r="I836" s="38"/>
      <c r="J836" s="39"/>
    </row>
    <row r="837" spans="1:10" x14ac:dyDescent="0.3">
      <c r="A837" s="49"/>
      <c r="B837" s="29"/>
      <c r="C837" s="29"/>
      <c r="D837" s="29"/>
      <c r="E837" s="29"/>
      <c r="F837" s="29"/>
      <c r="G837" s="29"/>
      <c r="H837" s="29"/>
      <c r="I837" s="36"/>
      <c r="J837" s="37"/>
    </row>
    <row r="838" spans="1:10" x14ac:dyDescent="0.3">
      <c r="A838" s="50"/>
      <c r="B838" s="28"/>
      <c r="C838" s="28"/>
      <c r="D838" s="28"/>
      <c r="E838" s="28"/>
      <c r="F838" s="28"/>
      <c r="G838" s="28"/>
      <c r="H838" s="28"/>
      <c r="I838" s="38"/>
      <c r="J838" s="39"/>
    </row>
    <row r="839" spans="1:10" x14ac:dyDescent="0.3">
      <c r="A839" s="49"/>
      <c r="B839" s="29"/>
      <c r="C839" s="29"/>
      <c r="D839" s="29"/>
      <c r="E839" s="29"/>
      <c r="F839" s="29"/>
      <c r="G839" s="29"/>
      <c r="H839" s="29"/>
      <c r="I839" s="36"/>
      <c r="J839" s="37"/>
    </row>
    <row r="840" spans="1:10" x14ac:dyDescent="0.3">
      <c r="A840" s="50"/>
      <c r="B840" s="28"/>
      <c r="C840" s="28"/>
      <c r="D840" s="28"/>
      <c r="E840" s="28"/>
      <c r="F840" s="28"/>
      <c r="G840" s="28"/>
      <c r="H840" s="28"/>
      <c r="I840" s="38"/>
      <c r="J840" s="39"/>
    </row>
    <row r="841" spans="1:10" x14ac:dyDescent="0.3">
      <c r="A841" s="49"/>
      <c r="B841" s="29"/>
      <c r="C841" s="29"/>
      <c r="D841" s="29"/>
      <c r="E841" s="29"/>
      <c r="F841" s="29"/>
      <c r="G841" s="29"/>
      <c r="H841" s="29"/>
      <c r="I841" s="36"/>
      <c r="J841" s="37"/>
    </row>
    <row r="842" spans="1:10" x14ac:dyDescent="0.3">
      <c r="A842" s="50"/>
      <c r="B842" s="28"/>
      <c r="C842" s="28"/>
      <c r="D842" s="28"/>
      <c r="E842" s="28"/>
      <c r="F842" s="28"/>
      <c r="G842" s="28"/>
      <c r="H842" s="28"/>
      <c r="I842" s="38"/>
      <c r="J842" s="39"/>
    </row>
    <row r="843" spans="1:10" x14ac:dyDescent="0.3">
      <c r="A843" s="49"/>
      <c r="B843" s="29"/>
      <c r="C843" s="29"/>
      <c r="D843" s="29"/>
      <c r="E843" s="29"/>
      <c r="F843" s="29"/>
      <c r="G843" s="29"/>
      <c r="H843" s="29"/>
      <c r="I843" s="36"/>
      <c r="J843" s="37"/>
    </row>
    <row r="844" spans="1:10" x14ac:dyDescent="0.3">
      <c r="A844" s="50"/>
      <c r="B844" s="28"/>
      <c r="C844" s="28"/>
      <c r="D844" s="28"/>
      <c r="E844" s="28"/>
      <c r="F844" s="28"/>
      <c r="G844" s="28"/>
      <c r="H844" s="28"/>
      <c r="I844" s="38"/>
      <c r="J844" s="39"/>
    </row>
    <row r="845" spans="1:10" x14ac:dyDescent="0.3">
      <c r="A845" s="49"/>
      <c r="B845" s="29"/>
      <c r="C845" s="29"/>
      <c r="D845" s="29"/>
      <c r="E845" s="29"/>
      <c r="F845" s="29"/>
      <c r="G845" s="29"/>
      <c r="H845" s="29"/>
      <c r="I845" s="36"/>
      <c r="J845" s="37"/>
    </row>
    <row r="846" spans="1:10" x14ac:dyDescent="0.3">
      <c r="A846" s="50"/>
      <c r="B846" s="28"/>
      <c r="C846" s="28"/>
      <c r="D846" s="28"/>
      <c r="E846" s="28"/>
      <c r="F846" s="28"/>
      <c r="G846" s="28"/>
      <c r="H846" s="28"/>
      <c r="I846" s="38"/>
      <c r="J846" s="39"/>
    </row>
    <row r="847" spans="1:10" x14ac:dyDescent="0.3">
      <c r="A847" s="49"/>
      <c r="B847" s="29"/>
      <c r="C847" s="29"/>
      <c r="D847" s="29"/>
      <c r="E847" s="29"/>
      <c r="F847" s="29"/>
      <c r="G847" s="29"/>
      <c r="H847" s="29"/>
      <c r="I847" s="36"/>
      <c r="J847" s="37"/>
    </row>
    <row r="848" spans="1:10" x14ac:dyDescent="0.3">
      <c r="A848" s="50"/>
      <c r="B848" s="28"/>
      <c r="C848" s="28"/>
      <c r="D848" s="28"/>
      <c r="E848" s="28"/>
      <c r="F848" s="28"/>
      <c r="G848" s="28"/>
      <c r="H848" s="28"/>
      <c r="I848" s="38"/>
      <c r="J848" s="39"/>
    </row>
    <row r="849" spans="1:10" x14ac:dyDescent="0.3">
      <c r="A849" s="49"/>
      <c r="B849" s="29"/>
      <c r="C849" s="29"/>
      <c r="D849" s="29"/>
      <c r="E849" s="29"/>
      <c r="F849" s="29"/>
      <c r="G849" s="29"/>
      <c r="H849" s="29"/>
      <c r="I849" s="36"/>
      <c r="J849" s="37"/>
    </row>
    <row r="850" spans="1:10" x14ac:dyDescent="0.3">
      <c r="A850" s="50"/>
      <c r="B850" s="28"/>
      <c r="C850" s="28"/>
      <c r="D850" s="28"/>
      <c r="E850" s="28"/>
      <c r="F850" s="28"/>
      <c r="G850" s="28"/>
      <c r="H850" s="28"/>
      <c r="I850" s="38"/>
      <c r="J850" s="39"/>
    </row>
    <row r="851" spans="1:10" x14ac:dyDescent="0.3">
      <c r="A851" s="49"/>
      <c r="B851" s="29"/>
      <c r="C851" s="29"/>
      <c r="D851" s="29"/>
      <c r="E851" s="29"/>
      <c r="F851" s="29"/>
      <c r="G851" s="29"/>
      <c r="H851" s="29"/>
      <c r="I851" s="36"/>
      <c r="J851" s="37"/>
    </row>
    <row r="852" spans="1:10" x14ac:dyDescent="0.3">
      <c r="A852" s="50"/>
      <c r="B852" s="28"/>
      <c r="C852" s="28"/>
      <c r="D852" s="28"/>
      <c r="E852" s="28"/>
      <c r="F852" s="28"/>
      <c r="G852" s="28"/>
      <c r="H852" s="28"/>
      <c r="I852" s="38"/>
      <c r="J852" s="39"/>
    </row>
    <row r="853" spans="1:10" x14ac:dyDescent="0.3">
      <c r="A853" s="49"/>
      <c r="B853" s="29"/>
      <c r="C853" s="29"/>
      <c r="D853" s="29"/>
      <c r="E853" s="29"/>
      <c r="F853" s="29"/>
      <c r="G853" s="29"/>
      <c r="H853" s="29"/>
      <c r="I853" s="36"/>
      <c r="J853" s="37"/>
    </row>
    <row r="854" spans="1:10" x14ac:dyDescent="0.3">
      <c r="A854" s="50"/>
      <c r="B854" s="28"/>
      <c r="C854" s="28"/>
      <c r="D854" s="28"/>
      <c r="E854" s="28"/>
      <c r="F854" s="28"/>
      <c r="G854" s="28"/>
      <c r="H854" s="28"/>
      <c r="I854" s="38"/>
      <c r="J854" s="39"/>
    </row>
    <row r="855" spans="1:10" x14ac:dyDescent="0.3">
      <c r="A855" s="49"/>
      <c r="B855" s="29"/>
      <c r="C855" s="29"/>
      <c r="D855" s="29"/>
      <c r="E855" s="29"/>
      <c r="F855" s="29"/>
      <c r="G855" s="29"/>
      <c r="H855" s="29"/>
      <c r="I855" s="36"/>
      <c r="J855" s="37"/>
    </row>
    <row r="856" spans="1:10" x14ac:dyDescent="0.3">
      <c r="A856" s="50"/>
      <c r="B856" s="28"/>
      <c r="C856" s="28"/>
      <c r="D856" s="28"/>
      <c r="E856" s="28"/>
      <c r="F856" s="28"/>
      <c r="G856" s="28"/>
      <c r="H856" s="28"/>
      <c r="I856" s="38"/>
      <c r="J856" s="39"/>
    </row>
    <row r="857" spans="1:10" x14ac:dyDescent="0.3">
      <c r="A857" s="49"/>
      <c r="B857" s="29"/>
      <c r="C857" s="29"/>
      <c r="D857" s="29"/>
      <c r="E857" s="29"/>
      <c r="F857" s="29"/>
      <c r="G857" s="29"/>
      <c r="H857" s="29"/>
      <c r="I857" s="36"/>
      <c r="J857" s="37"/>
    </row>
    <row r="858" spans="1:10" x14ac:dyDescent="0.3">
      <c r="A858" s="50"/>
      <c r="B858" s="28"/>
      <c r="C858" s="28"/>
      <c r="D858" s="28"/>
      <c r="E858" s="28"/>
      <c r="F858" s="28"/>
      <c r="G858" s="28"/>
      <c r="H858" s="28"/>
      <c r="I858" s="38"/>
      <c r="J858" s="39"/>
    </row>
    <row r="859" spans="1:10" x14ac:dyDescent="0.3">
      <c r="A859" s="49"/>
      <c r="B859" s="29"/>
      <c r="C859" s="29"/>
      <c r="D859" s="29"/>
      <c r="E859" s="29"/>
      <c r="F859" s="29"/>
      <c r="G859" s="29"/>
      <c r="H859" s="29"/>
      <c r="I859" s="36"/>
      <c r="J859" s="37"/>
    </row>
    <row r="860" spans="1:10" x14ac:dyDescent="0.3">
      <c r="A860" s="50"/>
      <c r="B860" s="28"/>
      <c r="C860" s="28"/>
      <c r="D860" s="28"/>
      <c r="E860" s="28"/>
      <c r="F860" s="28"/>
      <c r="G860" s="28"/>
      <c r="H860" s="28"/>
      <c r="I860" s="38"/>
      <c r="J860" s="39"/>
    </row>
    <row r="861" spans="1:10" x14ac:dyDescent="0.3">
      <c r="A861" s="49"/>
      <c r="B861" s="29"/>
      <c r="C861" s="29"/>
      <c r="D861" s="29"/>
      <c r="E861" s="29"/>
      <c r="F861" s="29"/>
      <c r="G861" s="29"/>
      <c r="H861" s="29"/>
      <c r="I861" s="36"/>
      <c r="J861" s="37"/>
    </row>
    <row r="862" spans="1:10" x14ac:dyDescent="0.3">
      <c r="A862" s="50"/>
      <c r="B862" s="28"/>
      <c r="C862" s="28"/>
      <c r="D862" s="28"/>
      <c r="E862" s="28"/>
      <c r="F862" s="28"/>
      <c r="G862" s="28"/>
      <c r="H862" s="28"/>
      <c r="I862" s="38"/>
      <c r="J862" s="39"/>
    </row>
    <row r="863" spans="1:10" x14ac:dyDescent="0.3">
      <c r="A863" s="49"/>
      <c r="B863" s="29"/>
      <c r="C863" s="29"/>
      <c r="D863" s="29"/>
      <c r="E863" s="29"/>
      <c r="F863" s="29"/>
      <c r="G863" s="29"/>
      <c r="H863" s="29"/>
      <c r="I863" s="36"/>
      <c r="J863" s="37"/>
    </row>
    <row r="864" spans="1:10" x14ac:dyDescent="0.3">
      <c r="A864" s="50"/>
      <c r="B864" s="28"/>
      <c r="C864" s="28"/>
      <c r="D864" s="28"/>
      <c r="E864" s="28"/>
      <c r="F864" s="28"/>
      <c r="G864" s="28"/>
      <c r="H864" s="28"/>
      <c r="I864" s="38"/>
      <c r="J864" s="39"/>
    </row>
    <row r="865" spans="1:10" x14ac:dyDescent="0.3">
      <c r="A865" s="49"/>
      <c r="B865" s="29"/>
      <c r="C865" s="29"/>
      <c r="D865" s="29"/>
      <c r="E865" s="29"/>
      <c r="F865" s="29"/>
      <c r="G865" s="29"/>
      <c r="H865" s="29"/>
      <c r="I865" s="36"/>
      <c r="J865" s="37"/>
    </row>
    <row r="866" spans="1:10" x14ac:dyDescent="0.3">
      <c r="A866" s="50"/>
      <c r="B866" s="28"/>
      <c r="C866" s="28"/>
      <c r="D866" s="28"/>
      <c r="E866" s="28"/>
      <c r="F866" s="28"/>
      <c r="G866" s="28"/>
      <c r="H866" s="28"/>
      <c r="I866" s="38"/>
      <c r="J866" s="39"/>
    </row>
    <row r="867" spans="1:10" x14ac:dyDescent="0.3">
      <c r="A867" s="49"/>
      <c r="B867" s="29"/>
      <c r="C867" s="29"/>
      <c r="D867" s="29"/>
      <c r="E867" s="29"/>
      <c r="F867" s="29"/>
      <c r="G867" s="29"/>
      <c r="H867" s="29"/>
      <c r="I867" s="36"/>
      <c r="J867" s="37"/>
    </row>
    <row r="868" spans="1:10" x14ac:dyDescent="0.3">
      <c r="A868" s="50"/>
      <c r="B868" s="28"/>
      <c r="C868" s="28"/>
      <c r="D868" s="28"/>
      <c r="E868" s="28"/>
      <c r="F868" s="28"/>
      <c r="G868" s="28"/>
      <c r="H868" s="28"/>
      <c r="I868" s="38"/>
      <c r="J868" s="39"/>
    </row>
    <row r="869" spans="1:10" x14ac:dyDescent="0.3">
      <c r="A869" s="49"/>
      <c r="B869" s="29"/>
      <c r="C869" s="29"/>
      <c r="D869" s="29"/>
      <c r="E869" s="29"/>
      <c r="F869" s="29"/>
      <c r="G869" s="29"/>
      <c r="H869" s="29"/>
      <c r="I869" s="36"/>
      <c r="J869" s="37"/>
    </row>
    <row r="870" spans="1:10" x14ac:dyDescent="0.3">
      <c r="A870" s="50"/>
      <c r="B870" s="28"/>
      <c r="C870" s="28"/>
      <c r="D870" s="28"/>
      <c r="E870" s="28"/>
      <c r="F870" s="28"/>
      <c r="G870" s="28"/>
      <c r="H870" s="28"/>
      <c r="I870" s="38"/>
      <c r="J870" s="39"/>
    </row>
    <row r="871" spans="1:10" x14ac:dyDescent="0.3">
      <c r="A871" s="49"/>
      <c r="B871" s="29"/>
      <c r="C871" s="29"/>
      <c r="D871" s="29"/>
      <c r="E871" s="29"/>
      <c r="F871" s="29"/>
      <c r="G871" s="29"/>
      <c r="H871" s="29"/>
      <c r="I871" s="36"/>
      <c r="J871" s="37"/>
    </row>
    <row r="872" spans="1:10" x14ac:dyDescent="0.3">
      <c r="A872" s="50"/>
      <c r="B872" s="28"/>
      <c r="C872" s="28"/>
      <c r="D872" s="28"/>
      <c r="E872" s="28"/>
      <c r="F872" s="28"/>
      <c r="G872" s="28"/>
      <c r="H872" s="28"/>
      <c r="I872" s="38"/>
      <c r="J872" s="39"/>
    </row>
    <row r="873" spans="1:10" x14ac:dyDescent="0.3">
      <c r="A873" s="49"/>
      <c r="B873" s="29"/>
      <c r="C873" s="29"/>
      <c r="D873" s="29"/>
      <c r="E873" s="29"/>
      <c r="F873" s="29"/>
      <c r="G873" s="29"/>
      <c r="H873" s="29"/>
      <c r="I873" s="36"/>
      <c r="J873" s="37"/>
    </row>
    <row r="874" spans="1:10" x14ac:dyDescent="0.3">
      <c r="A874" s="50"/>
      <c r="B874" s="28"/>
      <c r="C874" s="28"/>
      <c r="D874" s="28"/>
      <c r="E874" s="28"/>
      <c r="F874" s="28"/>
      <c r="G874" s="28"/>
      <c r="H874" s="28"/>
      <c r="I874" s="38"/>
      <c r="J874" s="39"/>
    </row>
    <row r="875" spans="1:10" x14ac:dyDescent="0.3">
      <c r="A875" s="49"/>
      <c r="B875" s="29"/>
      <c r="C875" s="29"/>
      <c r="D875" s="29"/>
      <c r="E875" s="29"/>
      <c r="F875" s="29"/>
      <c r="G875" s="29"/>
      <c r="H875" s="29"/>
      <c r="I875" s="36"/>
      <c r="J875" s="37"/>
    </row>
    <row r="876" spans="1:10" x14ac:dyDescent="0.3">
      <c r="A876" s="50"/>
      <c r="B876" s="28"/>
      <c r="C876" s="28"/>
      <c r="D876" s="28"/>
      <c r="E876" s="28"/>
      <c r="F876" s="28"/>
      <c r="G876" s="28"/>
      <c r="H876" s="28"/>
      <c r="I876" s="38"/>
      <c r="J876" s="39"/>
    </row>
    <row r="877" spans="1:10" x14ac:dyDescent="0.3">
      <c r="A877" s="49"/>
      <c r="B877" s="29"/>
      <c r="C877" s="29"/>
      <c r="D877" s="29"/>
      <c r="E877" s="29"/>
      <c r="F877" s="29"/>
      <c r="G877" s="29"/>
      <c r="H877" s="29"/>
      <c r="I877" s="36"/>
      <c r="J877" s="37"/>
    </row>
    <row r="878" spans="1:10" x14ac:dyDescent="0.3">
      <c r="A878" s="50"/>
      <c r="B878" s="28"/>
      <c r="C878" s="28"/>
      <c r="D878" s="28"/>
      <c r="E878" s="28"/>
      <c r="F878" s="28"/>
      <c r="G878" s="28"/>
      <c r="H878" s="28"/>
      <c r="I878" s="38"/>
      <c r="J878" s="39"/>
    </row>
    <row r="879" spans="1:10" x14ac:dyDescent="0.3">
      <c r="A879" s="49"/>
      <c r="B879" s="29"/>
      <c r="C879" s="29"/>
      <c r="D879" s="29"/>
      <c r="E879" s="29"/>
      <c r="F879" s="29"/>
      <c r="G879" s="29"/>
      <c r="H879" s="29"/>
      <c r="I879" s="36"/>
      <c r="J879" s="37"/>
    </row>
    <row r="880" spans="1:10" x14ac:dyDescent="0.3">
      <c r="A880" s="50"/>
      <c r="B880" s="28"/>
      <c r="C880" s="28"/>
      <c r="D880" s="28"/>
      <c r="E880" s="28"/>
      <c r="F880" s="28"/>
      <c r="G880" s="28"/>
      <c r="H880" s="28"/>
      <c r="I880" s="38"/>
      <c r="J880" s="39"/>
    </row>
    <row r="881" spans="1:10" x14ac:dyDescent="0.3">
      <c r="A881" s="49"/>
      <c r="B881" s="29"/>
      <c r="C881" s="29"/>
      <c r="D881" s="29"/>
      <c r="E881" s="29"/>
      <c r="F881" s="29"/>
      <c r="G881" s="29"/>
      <c r="H881" s="29"/>
      <c r="I881" s="36"/>
      <c r="J881" s="37"/>
    </row>
    <row r="882" spans="1:10" x14ac:dyDescent="0.3">
      <c r="A882" s="50"/>
      <c r="B882" s="28"/>
      <c r="C882" s="28"/>
      <c r="D882" s="28"/>
      <c r="E882" s="28"/>
      <c r="F882" s="28"/>
      <c r="G882" s="28"/>
      <c r="H882" s="28"/>
      <c r="I882" s="38"/>
      <c r="J882" s="39"/>
    </row>
    <row r="883" spans="1:10" x14ac:dyDescent="0.3">
      <c r="A883" s="49"/>
      <c r="B883" s="29"/>
      <c r="C883" s="29"/>
      <c r="D883" s="29"/>
      <c r="E883" s="29"/>
      <c r="F883" s="29"/>
      <c r="G883" s="29"/>
      <c r="H883" s="29"/>
      <c r="I883" s="36"/>
      <c r="J883" s="37"/>
    </row>
    <row r="884" spans="1:10" x14ac:dyDescent="0.3">
      <c r="A884" s="50"/>
      <c r="B884" s="28"/>
      <c r="C884" s="28"/>
      <c r="D884" s="28"/>
      <c r="E884" s="28"/>
      <c r="F884" s="28"/>
      <c r="G884" s="28"/>
      <c r="H884" s="28"/>
      <c r="I884" s="38"/>
      <c r="J884" s="39"/>
    </row>
    <row r="885" spans="1:10" x14ac:dyDescent="0.3">
      <c r="A885" s="49"/>
      <c r="B885" s="29"/>
      <c r="C885" s="29"/>
      <c r="D885" s="29"/>
      <c r="E885" s="29"/>
      <c r="F885" s="29"/>
      <c r="G885" s="29"/>
      <c r="H885" s="29"/>
      <c r="I885" s="36"/>
      <c r="J885" s="37"/>
    </row>
    <row r="886" spans="1:10" x14ac:dyDescent="0.3">
      <c r="A886" s="50"/>
      <c r="B886" s="28"/>
      <c r="C886" s="28"/>
      <c r="D886" s="28"/>
      <c r="E886" s="28"/>
      <c r="F886" s="28"/>
      <c r="G886" s="28"/>
      <c r="H886" s="28"/>
      <c r="I886" s="38"/>
      <c r="J886" s="39"/>
    </row>
    <row r="887" spans="1:10" x14ac:dyDescent="0.3">
      <c r="A887" s="49"/>
      <c r="B887" s="29"/>
      <c r="C887" s="29"/>
      <c r="D887" s="29"/>
      <c r="E887" s="29"/>
      <c r="F887" s="29"/>
      <c r="G887" s="29"/>
      <c r="H887" s="29"/>
      <c r="I887" s="36"/>
      <c r="J887" s="37"/>
    </row>
    <row r="888" spans="1:10" x14ac:dyDescent="0.3">
      <c r="A888" s="50"/>
      <c r="B888" s="28"/>
      <c r="C888" s="28"/>
      <c r="D888" s="28"/>
      <c r="E888" s="28"/>
      <c r="F888" s="28"/>
      <c r="G888" s="28"/>
      <c r="H888" s="28"/>
      <c r="I888" s="38"/>
      <c r="J888" s="39"/>
    </row>
    <row r="889" spans="1:10" x14ac:dyDescent="0.3">
      <c r="A889" s="49"/>
      <c r="B889" s="29"/>
      <c r="C889" s="29"/>
      <c r="D889" s="29"/>
      <c r="E889" s="29"/>
      <c r="F889" s="29"/>
      <c r="G889" s="29"/>
      <c r="H889" s="29"/>
      <c r="I889" s="36"/>
      <c r="J889" s="37"/>
    </row>
    <row r="890" spans="1:10" x14ac:dyDescent="0.3">
      <c r="A890" s="50"/>
      <c r="B890" s="28"/>
      <c r="C890" s="28"/>
      <c r="D890" s="28"/>
      <c r="E890" s="28"/>
      <c r="F890" s="28"/>
      <c r="G890" s="28"/>
      <c r="H890" s="28"/>
      <c r="I890" s="38"/>
      <c r="J890" s="39"/>
    </row>
    <row r="891" spans="1:10" x14ac:dyDescent="0.3">
      <c r="A891" s="49"/>
      <c r="B891" s="29"/>
      <c r="C891" s="29"/>
      <c r="D891" s="29"/>
      <c r="E891" s="29"/>
      <c r="F891" s="29"/>
      <c r="G891" s="29"/>
      <c r="H891" s="29"/>
      <c r="I891" s="36"/>
      <c r="J891" s="37"/>
    </row>
    <row r="892" spans="1:10" x14ac:dyDescent="0.3">
      <c r="A892" s="50"/>
      <c r="B892" s="28"/>
      <c r="C892" s="28"/>
      <c r="D892" s="28"/>
      <c r="E892" s="28"/>
      <c r="F892" s="28"/>
      <c r="G892" s="28"/>
      <c r="H892" s="28"/>
      <c r="I892" s="38"/>
      <c r="J892" s="39"/>
    </row>
    <row r="893" spans="1:10" x14ac:dyDescent="0.3">
      <c r="A893" s="49"/>
      <c r="B893" s="29"/>
      <c r="C893" s="29"/>
      <c r="D893" s="29"/>
      <c r="E893" s="29"/>
      <c r="F893" s="29"/>
      <c r="G893" s="29"/>
      <c r="H893" s="29"/>
      <c r="I893" s="36"/>
      <c r="J893" s="37"/>
    </row>
    <row r="894" spans="1:10" x14ac:dyDescent="0.3">
      <c r="A894" s="50"/>
      <c r="B894" s="28"/>
      <c r="C894" s="28"/>
      <c r="D894" s="28"/>
      <c r="E894" s="28"/>
      <c r="F894" s="28"/>
      <c r="G894" s="28"/>
      <c r="H894" s="28"/>
      <c r="I894" s="38"/>
      <c r="J894" s="39"/>
    </row>
    <row r="895" spans="1:10" x14ac:dyDescent="0.3">
      <c r="A895" s="49"/>
      <c r="B895" s="29"/>
      <c r="C895" s="29"/>
      <c r="D895" s="29"/>
      <c r="E895" s="29"/>
      <c r="F895" s="29"/>
      <c r="G895" s="29"/>
      <c r="H895" s="29"/>
      <c r="I895" s="36"/>
      <c r="J895" s="37"/>
    </row>
    <row r="896" spans="1:10" x14ac:dyDescent="0.3">
      <c r="A896" s="50"/>
      <c r="B896" s="28"/>
      <c r="C896" s="28"/>
      <c r="D896" s="28"/>
      <c r="E896" s="28"/>
      <c r="F896" s="28"/>
      <c r="G896" s="28"/>
      <c r="H896" s="28"/>
      <c r="I896" s="38"/>
      <c r="J896" s="39"/>
    </row>
    <row r="897" spans="1:10" x14ac:dyDescent="0.3">
      <c r="A897" s="49"/>
      <c r="B897" s="29"/>
      <c r="C897" s="29"/>
      <c r="D897" s="29"/>
      <c r="E897" s="29"/>
      <c r="F897" s="29"/>
      <c r="G897" s="29"/>
      <c r="H897" s="29"/>
      <c r="I897" s="36"/>
      <c r="J897" s="37"/>
    </row>
    <row r="898" spans="1:10" x14ac:dyDescent="0.3">
      <c r="A898" s="50"/>
      <c r="B898" s="28"/>
      <c r="C898" s="28"/>
      <c r="D898" s="28"/>
      <c r="E898" s="28"/>
      <c r="F898" s="28"/>
      <c r="G898" s="28"/>
      <c r="H898" s="28"/>
      <c r="I898" s="38"/>
      <c r="J898" s="39"/>
    </row>
    <row r="899" spans="1:10" x14ac:dyDescent="0.3">
      <c r="A899" s="49"/>
      <c r="B899" s="29"/>
      <c r="C899" s="29"/>
      <c r="D899" s="29"/>
      <c r="E899" s="29"/>
      <c r="F899" s="29"/>
      <c r="G899" s="29"/>
      <c r="H899" s="29"/>
      <c r="I899" s="36"/>
      <c r="J899" s="37"/>
    </row>
    <row r="900" spans="1:10" x14ac:dyDescent="0.3">
      <c r="A900" s="50"/>
      <c r="B900" s="28"/>
      <c r="C900" s="28"/>
      <c r="D900" s="28"/>
      <c r="E900" s="28"/>
      <c r="F900" s="28"/>
      <c r="G900" s="28"/>
      <c r="H900" s="28"/>
      <c r="I900" s="38"/>
      <c r="J900" s="39"/>
    </row>
    <row r="901" spans="1:10" x14ac:dyDescent="0.3">
      <c r="A901" s="49"/>
      <c r="B901" s="29"/>
      <c r="C901" s="29"/>
      <c r="D901" s="29"/>
      <c r="E901" s="29"/>
      <c r="F901" s="29"/>
      <c r="G901" s="29"/>
      <c r="H901" s="29"/>
      <c r="I901" s="36"/>
      <c r="J901" s="37"/>
    </row>
    <row r="902" spans="1:10" x14ac:dyDescent="0.3">
      <c r="A902" s="50"/>
      <c r="B902" s="28"/>
      <c r="C902" s="28"/>
      <c r="D902" s="28"/>
      <c r="E902" s="28"/>
      <c r="F902" s="28"/>
      <c r="G902" s="28"/>
      <c r="H902" s="28"/>
      <c r="I902" s="38"/>
      <c r="J902" s="39"/>
    </row>
    <row r="903" spans="1:10" x14ac:dyDescent="0.3">
      <c r="A903" s="49"/>
      <c r="B903" s="29"/>
      <c r="C903" s="29"/>
      <c r="D903" s="29"/>
      <c r="E903" s="29"/>
      <c r="F903" s="29"/>
      <c r="G903" s="29"/>
      <c r="H903" s="29"/>
      <c r="I903" s="36"/>
      <c r="J903" s="37"/>
    </row>
    <row r="904" spans="1:10" x14ac:dyDescent="0.3">
      <c r="A904" s="50"/>
      <c r="B904" s="28"/>
      <c r="C904" s="28"/>
      <c r="D904" s="28"/>
      <c r="E904" s="28"/>
      <c r="F904" s="28"/>
      <c r="G904" s="28"/>
      <c r="H904" s="28"/>
      <c r="I904" s="38"/>
      <c r="J904" s="39"/>
    </row>
    <row r="905" spans="1:10" x14ac:dyDescent="0.3">
      <c r="A905" s="49"/>
      <c r="B905" s="29"/>
      <c r="C905" s="29"/>
      <c r="D905" s="29"/>
      <c r="E905" s="29"/>
      <c r="F905" s="29"/>
      <c r="G905" s="29"/>
      <c r="H905" s="29"/>
      <c r="I905" s="36"/>
      <c r="J905" s="37"/>
    </row>
    <row r="906" spans="1:10" x14ac:dyDescent="0.3">
      <c r="A906" s="50"/>
      <c r="B906" s="28"/>
      <c r="C906" s="28"/>
      <c r="D906" s="28"/>
      <c r="E906" s="28"/>
      <c r="F906" s="28"/>
      <c r="G906" s="28"/>
      <c r="H906" s="28"/>
      <c r="I906" s="38"/>
      <c r="J906" s="39"/>
    </row>
    <row r="907" spans="1:10" x14ac:dyDescent="0.3">
      <c r="A907" s="49"/>
      <c r="B907" s="29"/>
      <c r="C907" s="29"/>
      <c r="D907" s="29"/>
      <c r="E907" s="29"/>
      <c r="F907" s="29"/>
      <c r="G907" s="29"/>
      <c r="H907" s="29"/>
      <c r="I907" s="36"/>
      <c r="J907" s="37"/>
    </row>
    <row r="908" spans="1:10" x14ac:dyDescent="0.3">
      <c r="A908" s="50"/>
      <c r="B908" s="28"/>
      <c r="C908" s="28"/>
      <c r="D908" s="28"/>
      <c r="E908" s="28"/>
      <c r="F908" s="28"/>
      <c r="G908" s="28"/>
      <c r="H908" s="28"/>
      <c r="I908" s="38"/>
      <c r="J908" s="39"/>
    </row>
    <row r="909" spans="1:10" x14ac:dyDescent="0.3">
      <c r="A909" s="49"/>
      <c r="B909" s="29"/>
      <c r="C909" s="29"/>
      <c r="D909" s="29"/>
      <c r="E909" s="29"/>
      <c r="F909" s="29"/>
      <c r="G909" s="29"/>
      <c r="H909" s="29"/>
      <c r="I909" s="36"/>
      <c r="J909" s="37"/>
    </row>
    <row r="910" spans="1:10" x14ac:dyDescent="0.3">
      <c r="A910" s="50"/>
      <c r="B910" s="28"/>
      <c r="C910" s="28"/>
      <c r="D910" s="28"/>
      <c r="E910" s="28"/>
      <c r="F910" s="28"/>
      <c r="G910" s="28"/>
      <c r="H910" s="28"/>
      <c r="I910" s="38"/>
      <c r="J910" s="39"/>
    </row>
    <row r="911" spans="1:10" x14ac:dyDescent="0.3">
      <c r="A911" s="49"/>
      <c r="B911" s="29"/>
      <c r="C911" s="29"/>
      <c r="D911" s="29"/>
      <c r="E911" s="29"/>
      <c r="F911" s="29"/>
      <c r="G911" s="29"/>
      <c r="H911" s="29"/>
      <c r="I911" s="36"/>
      <c r="J911" s="37"/>
    </row>
    <row r="912" spans="1:10" x14ac:dyDescent="0.3">
      <c r="A912" s="50"/>
      <c r="B912" s="28"/>
      <c r="C912" s="28"/>
      <c r="D912" s="28"/>
      <c r="E912" s="28"/>
      <c r="F912" s="28"/>
      <c r="G912" s="28"/>
      <c r="H912" s="28"/>
      <c r="I912" s="38"/>
      <c r="J912" s="39"/>
    </row>
    <row r="913" spans="1:10" x14ac:dyDescent="0.3">
      <c r="A913" s="49"/>
      <c r="B913" s="29"/>
      <c r="C913" s="29"/>
      <c r="D913" s="29"/>
      <c r="E913" s="29"/>
      <c r="F913" s="29"/>
      <c r="G913" s="29"/>
      <c r="H913" s="29"/>
      <c r="I913" s="36"/>
      <c r="J913" s="37"/>
    </row>
    <row r="914" spans="1:10" x14ac:dyDescent="0.3">
      <c r="A914" s="50"/>
      <c r="B914" s="28"/>
      <c r="C914" s="28"/>
      <c r="D914" s="28"/>
      <c r="E914" s="28"/>
      <c r="F914" s="28"/>
      <c r="G914" s="28"/>
      <c r="H914" s="28"/>
      <c r="I914" s="38"/>
      <c r="J914" s="39"/>
    </row>
    <row r="915" spans="1:10" x14ac:dyDescent="0.3">
      <c r="A915" s="49"/>
      <c r="B915" s="29"/>
      <c r="C915" s="29"/>
      <c r="D915" s="29"/>
      <c r="E915" s="29"/>
      <c r="F915" s="29"/>
      <c r="G915" s="29"/>
      <c r="H915" s="29"/>
      <c r="I915" s="36"/>
      <c r="J915" s="37"/>
    </row>
    <row r="916" spans="1:10" x14ac:dyDescent="0.3">
      <c r="A916" s="50"/>
      <c r="B916" s="28"/>
      <c r="C916" s="28"/>
      <c r="D916" s="28"/>
      <c r="E916" s="28"/>
      <c r="F916" s="28"/>
      <c r="G916" s="28"/>
      <c r="H916" s="28"/>
      <c r="I916" s="38"/>
      <c r="J916" s="39"/>
    </row>
    <row r="917" spans="1:10" x14ac:dyDescent="0.3">
      <c r="A917" s="49"/>
      <c r="B917" s="29"/>
      <c r="C917" s="29"/>
      <c r="D917" s="29"/>
      <c r="E917" s="29"/>
      <c r="F917" s="29"/>
      <c r="G917" s="29"/>
      <c r="H917" s="29"/>
      <c r="I917" s="36"/>
      <c r="J917" s="37"/>
    </row>
    <row r="918" spans="1:10" x14ac:dyDescent="0.3">
      <c r="A918" s="50"/>
      <c r="B918" s="28"/>
      <c r="C918" s="28"/>
      <c r="D918" s="28"/>
      <c r="E918" s="28"/>
      <c r="F918" s="28"/>
      <c r="G918" s="28"/>
      <c r="H918" s="28"/>
      <c r="I918" s="38"/>
      <c r="J918" s="39"/>
    </row>
    <row r="919" spans="1:10" x14ac:dyDescent="0.3">
      <c r="A919" s="49"/>
      <c r="B919" s="29"/>
      <c r="C919" s="29"/>
      <c r="D919" s="29"/>
      <c r="E919" s="29"/>
      <c r="F919" s="29"/>
      <c r="G919" s="29"/>
      <c r="H919" s="29"/>
      <c r="I919" s="36"/>
      <c r="J919" s="37"/>
    </row>
    <row r="920" spans="1:10" x14ac:dyDescent="0.3">
      <c r="A920" s="50"/>
      <c r="B920" s="28"/>
      <c r="C920" s="28"/>
      <c r="D920" s="28"/>
      <c r="E920" s="28"/>
      <c r="F920" s="28"/>
      <c r="G920" s="28"/>
      <c r="H920" s="28"/>
      <c r="I920" s="38"/>
      <c r="J920" s="39"/>
    </row>
    <row r="921" spans="1:10" x14ac:dyDescent="0.3">
      <c r="A921" s="49"/>
      <c r="B921" s="29"/>
      <c r="C921" s="29"/>
      <c r="D921" s="29"/>
      <c r="E921" s="29"/>
      <c r="F921" s="29"/>
      <c r="G921" s="29"/>
      <c r="H921" s="29"/>
      <c r="I921" s="36"/>
      <c r="J921" s="37"/>
    </row>
    <row r="922" spans="1:10" x14ac:dyDescent="0.3">
      <c r="A922" s="50"/>
      <c r="B922" s="28"/>
      <c r="C922" s="28"/>
      <c r="D922" s="28"/>
      <c r="E922" s="28"/>
      <c r="F922" s="28"/>
      <c r="G922" s="28"/>
      <c r="H922" s="28"/>
      <c r="I922" s="38"/>
      <c r="J922" s="39"/>
    </row>
    <row r="923" spans="1:10" x14ac:dyDescent="0.3">
      <c r="A923" s="49"/>
      <c r="B923" s="29"/>
      <c r="C923" s="29"/>
      <c r="D923" s="29"/>
      <c r="E923" s="29"/>
      <c r="F923" s="29"/>
      <c r="G923" s="29"/>
      <c r="H923" s="29"/>
      <c r="I923" s="36"/>
      <c r="J923" s="37"/>
    </row>
    <row r="924" spans="1:10" x14ac:dyDescent="0.3">
      <c r="A924" s="50"/>
      <c r="B924" s="28"/>
      <c r="C924" s="28"/>
      <c r="D924" s="28"/>
      <c r="E924" s="28"/>
      <c r="F924" s="28"/>
      <c r="G924" s="28"/>
      <c r="H924" s="28"/>
      <c r="I924" s="38"/>
      <c r="J924" s="39"/>
    </row>
    <row r="925" spans="1:10" x14ac:dyDescent="0.3">
      <c r="A925" s="49"/>
      <c r="B925" s="29"/>
      <c r="C925" s="29"/>
      <c r="D925" s="29"/>
      <c r="E925" s="29"/>
      <c r="F925" s="29"/>
      <c r="G925" s="29"/>
      <c r="H925" s="29"/>
      <c r="I925" s="36"/>
      <c r="J925" s="37"/>
    </row>
    <row r="926" spans="1:10" x14ac:dyDescent="0.3">
      <c r="A926" s="50"/>
      <c r="B926" s="28"/>
      <c r="C926" s="28"/>
      <c r="D926" s="28"/>
      <c r="E926" s="28"/>
      <c r="F926" s="28"/>
      <c r="G926" s="28"/>
      <c r="H926" s="28"/>
      <c r="I926" s="38"/>
      <c r="J926" s="39"/>
    </row>
    <row r="927" spans="1:10" x14ac:dyDescent="0.3">
      <c r="A927" s="49"/>
      <c r="B927" s="29"/>
      <c r="C927" s="29"/>
      <c r="D927" s="29"/>
      <c r="E927" s="29"/>
      <c r="F927" s="29"/>
      <c r="G927" s="29"/>
      <c r="H927" s="29"/>
      <c r="I927" s="36"/>
      <c r="J927" s="37"/>
    </row>
    <row r="928" spans="1:10" x14ac:dyDescent="0.3">
      <c r="A928" s="50"/>
      <c r="B928" s="28"/>
      <c r="C928" s="28"/>
      <c r="D928" s="28"/>
      <c r="E928" s="28"/>
      <c r="F928" s="28"/>
      <c r="G928" s="28"/>
      <c r="H928" s="28"/>
      <c r="I928" s="38"/>
      <c r="J928" s="39"/>
    </row>
    <row r="929" spans="1:10" x14ac:dyDescent="0.3">
      <c r="A929" s="49"/>
      <c r="B929" s="29"/>
      <c r="C929" s="29"/>
      <c r="D929" s="29"/>
      <c r="E929" s="29"/>
      <c r="F929" s="29"/>
      <c r="G929" s="29"/>
      <c r="H929" s="29"/>
      <c r="I929" s="36"/>
      <c r="J929" s="37"/>
    </row>
    <row r="930" spans="1:10" x14ac:dyDescent="0.3">
      <c r="A930" s="50"/>
      <c r="B930" s="28"/>
      <c r="C930" s="28"/>
      <c r="D930" s="28"/>
      <c r="E930" s="28"/>
      <c r="F930" s="28"/>
      <c r="G930" s="28"/>
      <c r="H930" s="28"/>
      <c r="I930" s="38"/>
      <c r="J930" s="39"/>
    </row>
    <row r="931" spans="1:10" x14ac:dyDescent="0.3">
      <c r="A931" s="49"/>
      <c r="B931" s="29"/>
      <c r="C931" s="29"/>
      <c r="D931" s="29"/>
      <c r="E931" s="29"/>
      <c r="F931" s="29"/>
      <c r="G931" s="29"/>
      <c r="H931" s="29"/>
      <c r="I931" s="36"/>
      <c r="J931" s="37"/>
    </row>
    <row r="932" spans="1:10" x14ac:dyDescent="0.3">
      <c r="A932" s="50"/>
      <c r="B932" s="28"/>
      <c r="C932" s="28"/>
      <c r="D932" s="28"/>
      <c r="E932" s="28"/>
      <c r="F932" s="28"/>
      <c r="G932" s="28"/>
      <c r="H932" s="28"/>
      <c r="I932" s="38"/>
      <c r="J932" s="39"/>
    </row>
    <row r="933" spans="1:10" x14ac:dyDescent="0.3">
      <c r="A933" s="49"/>
      <c r="B933" s="29"/>
      <c r="C933" s="29"/>
      <c r="D933" s="29"/>
      <c r="E933" s="29"/>
      <c r="F933" s="29"/>
      <c r="G933" s="29"/>
      <c r="H933" s="29"/>
      <c r="I933" s="36"/>
      <c r="J933" s="37"/>
    </row>
    <row r="934" spans="1:10" x14ac:dyDescent="0.3">
      <c r="A934" s="50"/>
      <c r="B934" s="28"/>
      <c r="C934" s="28"/>
      <c r="D934" s="28"/>
      <c r="E934" s="28"/>
      <c r="F934" s="28"/>
      <c r="G934" s="28"/>
      <c r="H934" s="28"/>
      <c r="I934" s="38"/>
      <c r="J934" s="39"/>
    </row>
    <row r="935" spans="1:10" x14ac:dyDescent="0.3">
      <c r="A935" s="49"/>
      <c r="B935" s="29"/>
      <c r="C935" s="29"/>
      <c r="D935" s="29"/>
      <c r="E935" s="29"/>
      <c r="F935" s="29"/>
      <c r="G935" s="29"/>
      <c r="H935" s="29"/>
      <c r="I935" s="36"/>
      <c r="J935" s="37"/>
    </row>
    <row r="936" spans="1:10" x14ac:dyDescent="0.3">
      <c r="A936" s="50"/>
      <c r="B936" s="28"/>
      <c r="C936" s="28"/>
      <c r="D936" s="28"/>
      <c r="E936" s="28"/>
      <c r="F936" s="28"/>
      <c r="G936" s="28"/>
      <c r="H936" s="28"/>
      <c r="I936" s="38"/>
      <c r="J936" s="39"/>
    </row>
    <row r="937" spans="1:10" x14ac:dyDescent="0.3">
      <c r="A937" s="49"/>
      <c r="B937" s="29"/>
      <c r="C937" s="29"/>
      <c r="D937" s="29"/>
      <c r="E937" s="29"/>
      <c r="F937" s="29"/>
      <c r="G937" s="29"/>
      <c r="H937" s="29"/>
      <c r="I937" s="36"/>
      <c r="J937" s="37"/>
    </row>
    <row r="938" spans="1:10" x14ac:dyDescent="0.3">
      <c r="A938" s="50"/>
      <c r="B938" s="28"/>
      <c r="C938" s="28"/>
      <c r="D938" s="28"/>
      <c r="E938" s="28"/>
      <c r="F938" s="28"/>
      <c r="G938" s="28"/>
      <c r="H938" s="28"/>
      <c r="I938" s="38"/>
      <c r="J938" s="39"/>
    </row>
    <row r="939" spans="1:10" x14ac:dyDescent="0.3">
      <c r="A939" s="49"/>
      <c r="B939" s="29"/>
      <c r="C939" s="29"/>
      <c r="D939" s="29"/>
      <c r="E939" s="29"/>
      <c r="F939" s="29"/>
      <c r="G939" s="29"/>
      <c r="H939" s="29"/>
      <c r="I939" s="36"/>
      <c r="J939" s="37"/>
    </row>
    <row r="940" spans="1:10" x14ac:dyDescent="0.3">
      <c r="A940" s="50"/>
      <c r="B940" s="28"/>
      <c r="C940" s="28"/>
      <c r="D940" s="28"/>
      <c r="E940" s="28"/>
      <c r="F940" s="28"/>
      <c r="G940" s="28"/>
      <c r="H940" s="28"/>
      <c r="I940" s="38"/>
      <c r="J940" s="39"/>
    </row>
    <row r="941" spans="1:10" x14ac:dyDescent="0.3">
      <c r="A941" s="49"/>
      <c r="B941" s="29"/>
      <c r="C941" s="29"/>
      <c r="D941" s="29"/>
      <c r="E941" s="29"/>
      <c r="F941" s="29"/>
      <c r="G941" s="29"/>
      <c r="H941" s="29"/>
      <c r="I941" s="36"/>
      <c r="J941" s="37"/>
    </row>
    <row r="942" spans="1:10" x14ac:dyDescent="0.3">
      <c r="A942" s="50"/>
      <c r="B942" s="28"/>
      <c r="C942" s="28"/>
      <c r="D942" s="28"/>
      <c r="E942" s="28"/>
      <c r="F942" s="28"/>
      <c r="G942" s="28"/>
      <c r="H942" s="28"/>
      <c r="I942" s="38"/>
      <c r="J942" s="39"/>
    </row>
    <row r="943" spans="1:10" x14ac:dyDescent="0.3">
      <c r="A943" s="49"/>
      <c r="B943" s="29"/>
      <c r="C943" s="29"/>
      <c r="D943" s="29"/>
      <c r="E943" s="29"/>
      <c r="F943" s="29"/>
      <c r="G943" s="29"/>
      <c r="H943" s="29"/>
      <c r="I943" s="36"/>
      <c r="J943" s="37"/>
    </row>
    <row r="944" spans="1:10" x14ac:dyDescent="0.3">
      <c r="A944" s="50"/>
      <c r="B944" s="28"/>
      <c r="C944" s="28"/>
      <c r="D944" s="28"/>
      <c r="E944" s="28"/>
      <c r="F944" s="28"/>
      <c r="G944" s="28"/>
      <c r="H944" s="28"/>
      <c r="I944" s="38"/>
      <c r="J944" s="39"/>
    </row>
    <row r="945" spans="1:10" x14ac:dyDescent="0.3">
      <c r="A945" s="49"/>
      <c r="B945" s="29"/>
      <c r="C945" s="29"/>
      <c r="D945" s="29"/>
      <c r="E945" s="29"/>
      <c r="F945" s="29"/>
      <c r="G945" s="29"/>
      <c r="H945" s="29"/>
      <c r="I945" s="36"/>
      <c r="J945" s="37"/>
    </row>
    <row r="946" spans="1:10" x14ac:dyDescent="0.3">
      <c r="A946" s="50"/>
      <c r="B946" s="28"/>
      <c r="C946" s="28"/>
      <c r="D946" s="28"/>
      <c r="E946" s="28"/>
      <c r="F946" s="28"/>
      <c r="G946" s="28"/>
      <c r="H946" s="28"/>
      <c r="I946" s="38"/>
      <c r="J946" s="39"/>
    </row>
    <row r="947" spans="1:10" x14ac:dyDescent="0.3">
      <c r="A947" s="49"/>
      <c r="B947" s="29"/>
      <c r="C947" s="29"/>
      <c r="D947" s="29"/>
      <c r="E947" s="29"/>
      <c r="F947" s="29"/>
      <c r="G947" s="29"/>
      <c r="H947" s="29"/>
      <c r="I947" s="36"/>
      <c r="J947" s="37"/>
    </row>
    <row r="948" spans="1:10" x14ac:dyDescent="0.3">
      <c r="A948" s="50"/>
      <c r="B948" s="28"/>
      <c r="C948" s="28"/>
      <c r="D948" s="28"/>
      <c r="E948" s="28"/>
      <c r="F948" s="28"/>
      <c r="G948" s="28"/>
      <c r="H948" s="28"/>
      <c r="I948" s="38"/>
      <c r="J948" s="39"/>
    </row>
    <row r="949" spans="1:10" x14ac:dyDescent="0.3">
      <c r="A949" s="49"/>
      <c r="B949" s="29"/>
      <c r="C949" s="29"/>
      <c r="D949" s="29"/>
      <c r="E949" s="29"/>
      <c r="F949" s="29"/>
      <c r="G949" s="29"/>
      <c r="H949" s="29"/>
      <c r="I949" s="36"/>
      <c r="J949" s="37"/>
    </row>
    <row r="950" spans="1:10" x14ac:dyDescent="0.3">
      <c r="A950" s="50"/>
      <c r="B950" s="28"/>
      <c r="C950" s="28"/>
      <c r="D950" s="28"/>
      <c r="E950" s="28"/>
      <c r="F950" s="28"/>
      <c r="G950" s="28"/>
      <c r="H950" s="28"/>
      <c r="I950" s="38"/>
      <c r="J950" s="39"/>
    </row>
    <row r="951" spans="1:10" x14ac:dyDescent="0.3">
      <c r="A951" s="49"/>
      <c r="B951" s="29"/>
      <c r="C951" s="29"/>
      <c r="D951" s="29"/>
      <c r="E951" s="29"/>
      <c r="F951" s="29"/>
      <c r="G951" s="29"/>
      <c r="H951" s="29"/>
      <c r="I951" s="36"/>
      <c r="J951" s="37"/>
    </row>
    <row r="952" spans="1:10" x14ac:dyDescent="0.3">
      <c r="A952" s="50"/>
      <c r="B952" s="28"/>
      <c r="C952" s="28"/>
      <c r="D952" s="28"/>
      <c r="E952" s="28"/>
      <c r="F952" s="28"/>
      <c r="G952" s="28"/>
      <c r="H952" s="28"/>
      <c r="I952" s="38"/>
      <c r="J952" s="39"/>
    </row>
    <row r="953" spans="1:10" x14ac:dyDescent="0.3">
      <c r="A953" s="49"/>
      <c r="B953" s="29"/>
      <c r="C953" s="29"/>
      <c r="D953" s="29"/>
      <c r="E953" s="29"/>
      <c r="F953" s="29"/>
      <c r="G953" s="29"/>
      <c r="H953" s="29"/>
      <c r="I953" s="36"/>
      <c r="J953" s="37"/>
    </row>
    <row r="954" spans="1:10" x14ac:dyDescent="0.3">
      <c r="A954" s="50"/>
      <c r="B954" s="28"/>
      <c r="C954" s="28"/>
      <c r="D954" s="28"/>
      <c r="E954" s="28"/>
      <c r="F954" s="28"/>
      <c r="G954" s="28"/>
      <c r="H954" s="28"/>
      <c r="I954" s="38"/>
      <c r="J954" s="39"/>
    </row>
    <row r="955" spans="1:10" x14ac:dyDescent="0.3">
      <c r="A955" s="49"/>
      <c r="B955" s="29"/>
      <c r="C955" s="29"/>
      <c r="D955" s="29"/>
      <c r="E955" s="29"/>
      <c r="F955" s="29"/>
      <c r="G955" s="29"/>
      <c r="H955" s="29"/>
      <c r="I955" s="36"/>
      <c r="J955" s="37"/>
    </row>
    <row r="956" spans="1:10" x14ac:dyDescent="0.3">
      <c r="A956" s="50"/>
      <c r="B956" s="28"/>
      <c r="C956" s="28"/>
      <c r="D956" s="28"/>
      <c r="E956" s="28"/>
      <c r="F956" s="28"/>
      <c r="G956" s="28"/>
      <c r="H956" s="28"/>
      <c r="I956" s="38"/>
      <c r="J956" s="39"/>
    </row>
    <row r="957" spans="1:10" x14ac:dyDescent="0.3">
      <c r="A957" s="49"/>
      <c r="B957" s="29"/>
      <c r="C957" s="29"/>
      <c r="D957" s="29"/>
      <c r="E957" s="29"/>
      <c r="F957" s="29"/>
      <c r="G957" s="29"/>
      <c r="H957" s="29"/>
      <c r="I957" s="36"/>
      <c r="J957" s="37"/>
    </row>
    <row r="958" spans="1:10" x14ac:dyDescent="0.3">
      <c r="A958" s="50"/>
      <c r="B958" s="28"/>
      <c r="C958" s="28"/>
      <c r="D958" s="28"/>
      <c r="E958" s="28"/>
      <c r="F958" s="28"/>
      <c r="G958" s="28"/>
      <c r="H958" s="28"/>
      <c r="I958" s="38"/>
      <c r="J958" s="39"/>
    </row>
    <row r="959" spans="1:10" x14ac:dyDescent="0.3">
      <c r="A959" s="49"/>
      <c r="B959" s="29"/>
      <c r="C959" s="29"/>
      <c r="D959" s="29"/>
      <c r="E959" s="29"/>
      <c r="F959" s="29"/>
      <c r="G959" s="29"/>
      <c r="H959" s="29"/>
      <c r="I959" s="36"/>
      <c r="J959" s="37"/>
    </row>
    <row r="960" spans="1:10" x14ac:dyDescent="0.3">
      <c r="A960" s="50"/>
      <c r="B960" s="28"/>
      <c r="C960" s="28"/>
      <c r="D960" s="28"/>
      <c r="E960" s="28"/>
      <c r="F960" s="28"/>
      <c r="G960" s="28"/>
      <c r="H960" s="28"/>
      <c r="I960" s="38"/>
      <c r="J960" s="39"/>
    </row>
    <row r="961" spans="1:10" x14ac:dyDescent="0.3">
      <c r="A961" s="49"/>
      <c r="B961" s="29"/>
      <c r="C961" s="29"/>
      <c r="D961" s="29"/>
      <c r="E961" s="29"/>
      <c r="F961" s="29"/>
      <c r="G961" s="29"/>
      <c r="H961" s="29"/>
      <c r="I961" s="36"/>
      <c r="J961" s="37"/>
    </row>
    <row r="962" spans="1:10" x14ac:dyDescent="0.3">
      <c r="A962" s="50"/>
      <c r="B962" s="28"/>
      <c r="C962" s="28"/>
      <c r="D962" s="28"/>
      <c r="E962" s="28"/>
      <c r="F962" s="28"/>
      <c r="G962" s="28"/>
      <c r="H962" s="28"/>
      <c r="I962" s="38"/>
      <c r="J962" s="39"/>
    </row>
    <row r="963" spans="1:10" x14ac:dyDescent="0.3">
      <c r="A963" s="49"/>
      <c r="B963" s="29"/>
      <c r="C963" s="29"/>
      <c r="D963" s="29"/>
      <c r="E963" s="29"/>
      <c r="F963" s="29"/>
      <c r="G963" s="29"/>
      <c r="H963" s="29"/>
      <c r="I963" s="36"/>
      <c r="J963" s="37"/>
    </row>
    <row r="964" spans="1:10" x14ac:dyDescent="0.3">
      <c r="A964" s="50"/>
      <c r="B964" s="28"/>
      <c r="C964" s="28"/>
      <c r="D964" s="28"/>
      <c r="E964" s="28"/>
      <c r="F964" s="28"/>
      <c r="G964" s="28"/>
      <c r="H964" s="28"/>
      <c r="I964" s="38"/>
      <c r="J964" s="39"/>
    </row>
    <row r="965" spans="1:10" x14ac:dyDescent="0.3">
      <c r="A965" s="49"/>
      <c r="B965" s="29"/>
      <c r="C965" s="29"/>
      <c r="D965" s="29"/>
      <c r="E965" s="29"/>
      <c r="F965" s="29"/>
      <c r="G965" s="29"/>
      <c r="H965" s="29"/>
      <c r="I965" s="36"/>
      <c r="J965" s="37"/>
    </row>
    <row r="966" spans="1:10" x14ac:dyDescent="0.3">
      <c r="A966" s="50"/>
      <c r="B966" s="28"/>
      <c r="C966" s="28"/>
      <c r="D966" s="28"/>
      <c r="E966" s="28"/>
      <c r="F966" s="28"/>
      <c r="G966" s="28"/>
      <c r="H966" s="28"/>
      <c r="I966" s="38"/>
      <c r="J966" s="39"/>
    </row>
    <row r="967" spans="1:10" x14ac:dyDescent="0.3">
      <c r="A967" s="49"/>
      <c r="B967" s="29"/>
      <c r="C967" s="29"/>
      <c r="D967" s="29"/>
      <c r="E967" s="29"/>
      <c r="F967" s="29"/>
      <c r="G967" s="29"/>
      <c r="H967" s="29"/>
      <c r="I967" s="36"/>
      <c r="J967" s="37"/>
    </row>
    <row r="968" spans="1:10" x14ac:dyDescent="0.3">
      <c r="A968" s="50"/>
      <c r="B968" s="28"/>
      <c r="C968" s="28"/>
      <c r="D968" s="28"/>
      <c r="E968" s="28"/>
      <c r="F968" s="28"/>
      <c r="G968" s="28"/>
      <c r="H968" s="28"/>
      <c r="I968" s="38"/>
      <c r="J968" s="39"/>
    </row>
    <row r="969" spans="1:10" x14ac:dyDescent="0.3">
      <c r="A969" s="49"/>
      <c r="B969" s="29"/>
      <c r="C969" s="29"/>
      <c r="D969" s="29"/>
      <c r="E969" s="29"/>
      <c r="F969" s="29"/>
      <c r="G969" s="29"/>
      <c r="H969" s="29"/>
      <c r="I969" s="36"/>
      <c r="J969" s="37"/>
    </row>
    <row r="970" spans="1:10" x14ac:dyDescent="0.3">
      <c r="A970" s="50"/>
      <c r="B970" s="28"/>
      <c r="C970" s="28"/>
      <c r="D970" s="28"/>
      <c r="E970" s="28"/>
      <c r="F970" s="28"/>
      <c r="G970" s="28"/>
      <c r="H970" s="28"/>
      <c r="I970" s="38"/>
      <c r="J970" s="39"/>
    </row>
    <row r="971" spans="1:10" x14ac:dyDescent="0.3">
      <c r="A971" s="49"/>
      <c r="B971" s="29"/>
      <c r="C971" s="29"/>
      <c r="D971" s="29"/>
      <c r="E971" s="29"/>
      <c r="F971" s="29"/>
      <c r="G971" s="29"/>
      <c r="H971" s="29"/>
      <c r="I971" s="36"/>
      <c r="J971" s="37"/>
    </row>
    <row r="972" spans="1:10" x14ac:dyDescent="0.3">
      <c r="A972" s="50"/>
      <c r="B972" s="28"/>
      <c r="C972" s="28"/>
      <c r="D972" s="28"/>
      <c r="E972" s="28"/>
      <c r="F972" s="28"/>
      <c r="G972" s="28"/>
      <c r="H972" s="28"/>
      <c r="I972" s="38"/>
      <c r="J972" s="39"/>
    </row>
    <row r="973" spans="1:10" x14ac:dyDescent="0.3">
      <c r="A973" s="49"/>
      <c r="B973" s="29"/>
      <c r="C973" s="29"/>
      <c r="D973" s="29"/>
      <c r="E973" s="29"/>
      <c r="F973" s="29"/>
      <c r="G973" s="29"/>
      <c r="H973" s="29"/>
      <c r="I973" s="36"/>
      <c r="J973" s="37"/>
    </row>
    <row r="974" spans="1:10" x14ac:dyDescent="0.3">
      <c r="A974" s="50"/>
      <c r="B974" s="28"/>
      <c r="C974" s="28"/>
      <c r="D974" s="28"/>
      <c r="E974" s="28"/>
      <c r="F974" s="28"/>
      <c r="G974" s="28"/>
      <c r="H974" s="28"/>
      <c r="I974" s="38"/>
      <c r="J974" s="39"/>
    </row>
    <row r="975" spans="1:10" x14ac:dyDescent="0.3">
      <c r="A975" s="49"/>
      <c r="B975" s="29"/>
      <c r="C975" s="29"/>
      <c r="D975" s="29"/>
      <c r="E975" s="29"/>
      <c r="F975" s="29"/>
      <c r="G975" s="29"/>
      <c r="H975" s="29"/>
      <c r="I975" s="36"/>
      <c r="J975" s="37"/>
    </row>
    <row r="976" spans="1:10" x14ac:dyDescent="0.3">
      <c r="A976" s="50"/>
      <c r="B976" s="28"/>
      <c r="C976" s="28"/>
      <c r="D976" s="28"/>
      <c r="E976" s="28"/>
      <c r="F976" s="28"/>
      <c r="G976" s="28"/>
      <c r="H976" s="28"/>
      <c r="I976" s="38"/>
      <c r="J976" s="39"/>
    </row>
    <row r="977" spans="1:10" x14ac:dyDescent="0.3">
      <c r="A977" s="49"/>
      <c r="B977" s="29"/>
      <c r="C977" s="29"/>
      <c r="D977" s="29"/>
      <c r="E977" s="29"/>
      <c r="F977" s="29"/>
      <c r="G977" s="29"/>
      <c r="H977" s="29"/>
      <c r="I977" s="36"/>
      <c r="J977" s="37"/>
    </row>
    <row r="978" spans="1:10" x14ac:dyDescent="0.3">
      <c r="A978" s="50"/>
      <c r="B978" s="28"/>
      <c r="C978" s="28"/>
      <c r="D978" s="28"/>
      <c r="E978" s="28"/>
      <c r="F978" s="28"/>
      <c r="G978" s="28"/>
      <c r="H978" s="28"/>
      <c r="I978" s="38"/>
      <c r="J978" s="39"/>
    </row>
    <row r="979" spans="1:10" x14ac:dyDescent="0.3">
      <c r="A979" s="49"/>
      <c r="B979" s="29"/>
      <c r="C979" s="29"/>
      <c r="D979" s="29"/>
      <c r="E979" s="29"/>
      <c r="F979" s="29"/>
      <c r="G979" s="29"/>
      <c r="H979" s="29"/>
      <c r="I979" s="36"/>
      <c r="J979" s="37"/>
    </row>
    <row r="980" spans="1:10" x14ac:dyDescent="0.3">
      <c r="A980" s="50"/>
      <c r="B980" s="28"/>
      <c r="C980" s="28"/>
      <c r="D980" s="28"/>
      <c r="E980" s="28"/>
      <c r="F980" s="28"/>
      <c r="G980" s="28"/>
      <c r="H980" s="28"/>
      <c r="I980" s="38"/>
      <c r="J980" s="39"/>
    </row>
    <row r="981" spans="1:10" x14ac:dyDescent="0.3">
      <c r="A981" s="49"/>
      <c r="B981" s="29"/>
      <c r="C981" s="29"/>
      <c r="D981" s="29"/>
      <c r="E981" s="29"/>
      <c r="F981" s="29"/>
      <c r="G981" s="29"/>
      <c r="H981" s="29"/>
      <c r="I981" s="36"/>
      <c r="J981" s="37"/>
    </row>
    <row r="982" spans="1:10" x14ac:dyDescent="0.3">
      <c r="A982" s="50"/>
      <c r="B982" s="28"/>
      <c r="C982" s="28"/>
      <c r="D982" s="28"/>
      <c r="E982" s="28"/>
      <c r="F982" s="28"/>
      <c r="G982" s="28"/>
      <c r="H982" s="28"/>
      <c r="I982" s="38"/>
      <c r="J982" s="39"/>
    </row>
    <row r="983" spans="1:10" x14ac:dyDescent="0.3">
      <c r="A983" s="49"/>
      <c r="B983" s="29"/>
      <c r="C983" s="29"/>
      <c r="D983" s="29"/>
      <c r="E983" s="29"/>
      <c r="F983" s="29"/>
      <c r="G983" s="29"/>
      <c r="H983" s="29"/>
      <c r="I983" s="36"/>
      <c r="J983" s="37"/>
    </row>
    <row r="984" spans="1:10" x14ac:dyDescent="0.3">
      <c r="A984" s="50"/>
      <c r="B984" s="28"/>
      <c r="C984" s="28"/>
      <c r="D984" s="28"/>
      <c r="E984" s="28"/>
      <c r="F984" s="28"/>
      <c r="G984" s="28"/>
      <c r="H984" s="28"/>
      <c r="I984" s="38"/>
      <c r="J984" s="39"/>
    </row>
    <row r="985" spans="1:10" x14ac:dyDescent="0.3">
      <c r="A985" s="49"/>
      <c r="B985" s="29"/>
      <c r="C985" s="29"/>
      <c r="D985" s="29"/>
      <c r="E985" s="29"/>
      <c r="F985" s="29"/>
      <c r="G985" s="29"/>
      <c r="H985" s="29"/>
      <c r="I985" s="36"/>
      <c r="J985" s="37"/>
    </row>
    <row r="986" spans="1:10" x14ac:dyDescent="0.3">
      <c r="A986" s="50"/>
      <c r="B986" s="28"/>
      <c r="C986" s="28"/>
      <c r="D986" s="28"/>
      <c r="E986" s="28"/>
      <c r="F986" s="28"/>
      <c r="G986" s="28"/>
      <c r="H986" s="28"/>
      <c r="I986" s="38"/>
      <c r="J986" s="39"/>
    </row>
    <row r="987" spans="1:10" x14ac:dyDescent="0.3">
      <c r="A987" s="49"/>
      <c r="B987" s="29"/>
      <c r="C987" s="29"/>
      <c r="D987" s="29"/>
      <c r="E987" s="29"/>
      <c r="F987" s="29"/>
      <c r="G987" s="29"/>
      <c r="H987" s="29"/>
      <c r="I987" s="36"/>
      <c r="J987" s="37"/>
    </row>
    <row r="988" spans="1:10" x14ac:dyDescent="0.3">
      <c r="A988" s="50"/>
      <c r="B988" s="28"/>
      <c r="C988" s="28"/>
      <c r="D988" s="28"/>
      <c r="E988" s="28"/>
      <c r="F988" s="28"/>
      <c r="G988" s="28"/>
      <c r="H988" s="28"/>
      <c r="I988" s="38"/>
      <c r="J988" s="39"/>
    </row>
    <row r="989" spans="1:10" x14ac:dyDescent="0.3">
      <c r="A989" s="49"/>
      <c r="B989" s="29"/>
      <c r="C989" s="29"/>
      <c r="D989" s="29"/>
      <c r="E989" s="29"/>
      <c r="F989" s="29"/>
      <c r="G989" s="29"/>
      <c r="H989" s="29"/>
      <c r="I989" s="36"/>
      <c r="J989" s="37"/>
    </row>
    <row r="990" spans="1:10" x14ac:dyDescent="0.3">
      <c r="A990" s="50"/>
      <c r="B990" s="28"/>
      <c r="C990" s="28"/>
      <c r="D990" s="28"/>
      <c r="E990" s="28"/>
      <c r="F990" s="28"/>
      <c r="G990" s="28"/>
      <c r="H990" s="28"/>
      <c r="I990" s="38"/>
      <c r="J990" s="39"/>
    </row>
    <row r="991" spans="1:10" x14ac:dyDescent="0.3">
      <c r="A991" s="49"/>
      <c r="B991" s="29"/>
      <c r="C991" s="29"/>
      <c r="D991" s="29"/>
      <c r="E991" s="29"/>
      <c r="F991" s="29"/>
      <c r="G991" s="29"/>
      <c r="H991" s="29"/>
      <c r="I991" s="36"/>
      <c r="J991" s="37"/>
    </row>
    <row r="992" spans="1:10" x14ac:dyDescent="0.3">
      <c r="A992" s="51"/>
      <c r="B992" s="30"/>
      <c r="C992" s="30"/>
      <c r="D992" s="30"/>
      <c r="E992" s="30"/>
      <c r="F992" s="30"/>
      <c r="G992" s="30"/>
      <c r="H992" s="30"/>
      <c r="I992" s="40"/>
      <c r="J992" s="41"/>
    </row>
  </sheetData>
  <conditionalFormatting sqref="N1:N1048576">
    <cfRule type="top10" dxfId="2" priority="2" bottom="1" rank="1"/>
    <cfRule type="top10" dxfId="1" priority="3" rank="1"/>
  </conditionalFormatting>
  <conditionalFormatting sqref="S2:S496">
    <cfRule type="cellIs" dxfId="0" priority="1" operator="lessThan">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EBD40-0D74-4257-8554-F24CF44AF2DB}">
  <dimension ref="A1:X37"/>
  <sheetViews>
    <sheetView showGridLines="0" zoomScale="90" zoomScaleNormal="90" workbookViewId="0">
      <selection activeCell="X27" sqref="X27"/>
    </sheetView>
  </sheetViews>
  <sheetFormatPr defaultRowHeight="14.4" x14ac:dyDescent="0.3"/>
  <cols>
    <col min="1" max="1" width="19" style="52" customWidth="1"/>
    <col min="2" max="23" width="8.88671875" style="52"/>
    <col min="24" max="24" width="15.109375" style="52" customWidth="1"/>
    <col min="25" max="16384" width="8.88671875" style="52"/>
  </cols>
  <sheetData>
    <row r="1" spans="1:24" x14ac:dyDescent="0.3">
      <c r="B1" s="54" t="s">
        <v>70</v>
      </c>
      <c r="C1" s="55"/>
      <c r="D1" s="55"/>
      <c r="E1" s="55"/>
      <c r="F1" s="55"/>
      <c r="G1" s="55"/>
      <c r="H1" s="55"/>
      <c r="I1" s="55"/>
      <c r="J1" s="55"/>
      <c r="K1" s="55"/>
      <c r="L1" s="55"/>
      <c r="M1" s="55"/>
      <c r="N1" s="55"/>
      <c r="O1" s="55"/>
      <c r="P1" s="55"/>
      <c r="Q1" s="55"/>
      <c r="R1" s="55"/>
      <c r="S1" s="55"/>
      <c r="T1" s="55"/>
      <c r="U1" s="55"/>
      <c r="V1" s="55"/>
    </row>
    <row r="2" spans="1:24" x14ac:dyDescent="0.3">
      <c r="B2" s="55"/>
      <c r="C2" s="55"/>
      <c r="D2" s="55"/>
      <c r="E2" s="55"/>
      <c r="F2" s="55"/>
      <c r="G2" s="55"/>
      <c r="H2" s="55"/>
      <c r="I2" s="55"/>
      <c r="J2" s="55"/>
      <c r="K2" s="55"/>
      <c r="L2" s="55"/>
      <c r="M2" s="55"/>
      <c r="N2" s="55"/>
      <c r="O2" s="55"/>
      <c r="P2" s="55"/>
      <c r="Q2" s="55"/>
      <c r="R2" s="55"/>
      <c r="S2" s="55"/>
      <c r="T2" s="55"/>
      <c r="U2" s="55"/>
      <c r="V2" s="55"/>
    </row>
    <row r="3" spans="1:24" customFormat="1" x14ac:dyDescent="0.3">
      <c r="A3" s="52"/>
      <c r="W3" s="52"/>
      <c r="X3" s="52"/>
    </row>
    <row r="4" spans="1:24" customFormat="1" x14ac:dyDescent="0.3">
      <c r="A4" s="52"/>
      <c r="W4" s="52"/>
      <c r="X4" s="52"/>
    </row>
    <row r="5" spans="1:24" customFormat="1" x14ac:dyDescent="0.3">
      <c r="A5" s="52"/>
      <c r="W5" s="52"/>
      <c r="X5" s="52"/>
    </row>
    <row r="6" spans="1:24" customFormat="1" x14ac:dyDescent="0.3">
      <c r="A6" s="52"/>
      <c r="W6" s="52"/>
      <c r="X6" s="52"/>
    </row>
    <row r="7" spans="1:24" customFormat="1" x14ac:dyDescent="0.3">
      <c r="A7" s="52"/>
      <c r="W7" s="52"/>
      <c r="X7" s="52"/>
    </row>
    <row r="8" spans="1:24" customFormat="1" x14ac:dyDescent="0.3">
      <c r="A8" s="52"/>
      <c r="W8" s="52"/>
      <c r="X8" s="52"/>
    </row>
    <row r="9" spans="1:24" customFormat="1" x14ac:dyDescent="0.3">
      <c r="A9" s="52"/>
      <c r="W9" s="52"/>
      <c r="X9" s="52"/>
    </row>
    <row r="10" spans="1:24" customFormat="1" x14ac:dyDescent="0.3">
      <c r="A10" s="52"/>
      <c r="W10" s="52"/>
      <c r="X10" s="52"/>
    </row>
    <row r="11" spans="1:24" customFormat="1" x14ac:dyDescent="0.3">
      <c r="A11" s="52"/>
      <c r="W11" s="52"/>
      <c r="X11" s="52"/>
    </row>
    <row r="12" spans="1:24" customFormat="1" x14ac:dyDescent="0.3">
      <c r="A12" s="52"/>
      <c r="W12" s="52"/>
      <c r="X12" s="52"/>
    </row>
    <row r="13" spans="1:24" customFormat="1" x14ac:dyDescent="0.3">
      <c r="A13" s="52"/>
      <c r="W13" s="52"/>
      <c r="X13" s="52"/>
    </row>
    <row r="14" spans="1:24" customFormat="1" x14ac:dyDescent="0.3">
      <c r="A14" s="52"/>
      <c r="W14" s="52"/>
      <c r="X14" s="52"/>
    </row>
    <row r="15" spans="1:24" customFormat="1" x14ac:dyDescent="0.3">
      <c r="A15" s="52"/>
      <c r="W15" s="52"/>
      <c r="X15" s="52"/>
    </row>
    <row r="16" spans="1:24" customFormat="1" x14ac:dyDescent="0.3">
      <c r="A16" s="52"/>
      <c r="W16" s="52"/>
      <c r="X16" s="52"/>
    </row>
    <row r="17" spans="1:24" customFormat="1" x14ac:dyDescent="0.3">
      <c r="A17" s="52"/>
      <c r="W17" s="52"/>
      <c r="X17" s="52"/>
    </row>
    <row r="18" spans="1:24" customFormat="1" x14ac:dyDescent="0.3">
      <c r="A18" s="52"/>
      <c r="W18" s="52"/>
      <c r="X18" s="52"/>
    </row>
    <row r="19" spans="1:24" customFormat="1" x14ac:dyDescent="0.3">
      <c r="A19" s="52"/>
      <c r="W19" s="52"/>
      <c r="X19" s="52"/>
    </row>
    <row r="20" spans="1:24" customFormat="1" x14ac:dyDescent="0.3">
      <c r="A20" s="52"/>
      <c r="W20" s="52"/>
      <c r="X20" s="52"/>
    </row>
    <row r="21" spans="1:24" customFormat="1" x14ac:dyDescent="0.3">
      <c r="A21" s="52"/>
      <c r="W21" s="52"/>
      <c r="X21" s="52"/>
    </row>
    <row r="22" spans="1:24" customFormat="1" x14ac:dyDescent="0.3">
      <c r="A22" s="52"/>
      <c r="W22" s="52"/>
      <c r="X22" s="52"/>
    </row>
    <row r="23" spans="1:24" customFormat="1" x14ac:dyDescent="0.3">
      <c r="A23" s="52"/>
      <c r="W23" s="52"/>
      <c r="X23" s="52"/>
    </row>
    <row r="24" spans="1:24" customFormat="1" x14ac:dyDescent="0.3">
      <c r="A24" s="52"/>
      <c r="W24" s="52"/>
      <c r="X24" s="52"/>
    </row>
    <row r="25" spans="1:24" customFormat="1" x14ac:dyDescent="0.3">
      <c r="A25" s="52"/>
      <c r="W25" s="52"/>
      <c r="X25" s="52"/>
    </row>
    <row r="26" spans="1:24" customFormat="1" x14ac:dyDescent="0.3">
      <c r="A26" s="52"/>
      <c r="W26" s="52"/>
      <c r="X26" s="52"/>
    </row>
    <row r="27" spans="1:24" customFormat="1" x14ac:dyDescent="0.3">
      <c r="A27" s="52"/>
      <c r="W27" s="52"/>
      <c r="X27" s="52"/>
    </row>
    <row r="28" spans="1:24" customFormat="1" x14ac:dyDescent="0.3">
      <c r="A28" s="52"/>
      <c r="W28" s="52"/>
      <c r="X28" s="52"/>
    </row>
    <row r="29" spans="1:24" customFormat="1" x14ac:dyDescent="0.3">
      <c r="A29" s="52"/>
      <c r="W29" s="52"/>
      <c r="X29" s="52"/>
    </row>
    <row r="30" spans="1:24" customFormat="1" x14ac:dyDescent="0.3">
      <c r="A30" s="52"/>
      <c r="W30" s="52"/>
      <c r="X30" s="52"/>
    </row>
    <row r="31" spans="1:24" customFormat="1" x14ac:dyDescent="0.3">
      <c r="A31" s="52"/>
      <c r="W31" s="52"/>
      <c r="X31" s="52"/>
    </row>
    <row r="32" spans="1:24" customFormat="1" x14ac:dyDescent="0.3">
      <c r="A32" s="52"/>
      <c r="W32" s="52"/>
      <c r="X32" s="52"/>
    </row>
    <row r="33" spans="1:24" customFormat="1" x14ac:dyDescent="0.3">
      <c r="A33" s="52"/>
      <c r="W33" s="52"/>
      <c r="X33" s="52"/>
    </row>
    <row r="34" spans="1:24" customFormat="1" x14ac:dyDescent="0.3">
      <c r="A34" s="52"/>
      <c r="W34" s="52"/>
      <c r="X34" s="52"/>
    </row>
    <row r="35" spans="1:24" customFormat="1" x14ac:dyDescent="0.3">
      <c r="A35" s="52"/>
      <c r="W35" s="52"/>
      <c r="X35" s="52"/>
    </row>
    <row r="36" spans="1:24" customFormat="1" x14ac:dyDescent="0.3">
      <c r="A36" s="52"/>
      <c r="W36" s="52"/>
      <c r="X36" s="52"/>
    </row>
    <row r="37" spans="1:24" customFormat="1" x14ac:dyDescent="0.3">
      <c r="A37" s="52"/>
      <c r="W37" s="52"/>
      <c r="X37" s="52"/>
    </row>
  </sheetData>
  <mergeCells count="1">
    <mergeCell ref="B1:V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615D9E-6BCF-48BB-89D0-E2B70F563C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segment benifitted and lost</vt:lpstr>
      <vt:lpstr>model w highest sales</vt:lpstr>
      <vt:lpstr>model w highest sales lost</vt:lpstr>
      <vt:lpstr>revenue generated and lost</vt:lpstr>
      <vt:lpstr>avg price diff</vt:lpstr>
      <vt:lpstr>monthly trend</vt:lpstr>
      <vt:lpstr>Sheet15</vt:lpstr>
      <vt:lpstr>rawdata</vt:lpstr>
      <vt:lpstr>dataprep</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Sufiyan Mirkar</cp:lastModifiedBy>
  <dcterms:created xsi:type="dcterms:W3CDTF">2025-09-19T09:15:38Z</dcterms:created>
  <dcterms:modified xsi:type="dcterms:W3CDTF">2025-09-20T08:52:20Z</dcterms:modified>
</cp:coreProperties>
</file>